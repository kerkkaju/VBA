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ämäTyökirja" defaultThemeVersion="164011"/>
  <mc:AlternateContent xmlns:mc="http://schemas.openxmlformats.org/markup-compatibility/2006">
    <mc:Choice Requires="x15">
      <x15ac:absPath xmlns:x15ac="http://schemas.microsoft.com/office/spreadsheetml/2010/11/ac" url="C:\Users\knja\OneDrive - European Schools\Opetustiedostot\Arviointi\"/>
    </mc:Choice>
  </mc:AlternateContent>
  <bookViews>
    <workbookView xWindow="0" yWindow="0" windowWidth="5490" windowHeight="3135"/>
  </bookViews>
  <sheets>
    <sheet name="Pohja" sheetId="3" r:id="rId1"/>
    <sheet name="Testing" sheetId="30" r:id="rId2"/>
    <sheet name="Nimien tuonti Extranetistä" sheetId="8" r:id="rId3"/>
    <sheet name="Comments" sheetId="9" r:id="rId4"/>
  </sheets>
  <functionGroups builtInGroupCount="18"/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5" i="3" l="1"/>
  <c r="L25" i="3"/>
  <c r="K25" i="3"/>
  <c r="J25" i="3"/>
  <c r="I25" i="3"/>
  <c r="H25" i="3"/>
  <c r="G25" i="3"/>
  <c r="F25" i="3"/>
  <c r="E25" i="3"/>
  <c r="D25" i="3"/>
  <c r="C25" i="3"/>
  <c r="AL25" i="3"/>
  <c r="AK25" i="3"/>
  <c r="AJ25" i="3"/>
  <c r="AI25" i="3"/>
  <c r="AH25" i="3"/>
  <c r="AG25" i="3"/>
  <c r="AP25" i="3"/>
  <c r="AO25" i="3"/>
  <c r="AM25" i="3"/>
  <c r="E24" i="3"/>
  <c r="G24" i="3"/>
  <c r="H24" i="3" s="1"/>
  <c r="J24" i="3"/>
  <c r="K24" i="3" s="1"/>
  <c r="M24" i="3"/>
  <c r="N24" i="3" s="1"/>
  <c r="P24" i="3"/>
  <c r="AF24" i="3"/>
  <c r="E23" i="3"/>
  <c r="G23" i="3"/>
  <c r="H23" i="3" s="1"/>
  <c r="J23" i="3"/>
  <c r="K23" i="3" s="1"/>
  <c r="M23" i="3"/>
  <c r="N23" i="3" s="1"/>
  <c r="P23" i="3"/>
  <c r="AF23" i="3"/>
  <c r="E22" i="3"/>
  <c r="G22" i="3"/>
  <c r="H22" i="3" s="1"/>
  <c r="J22" i="3"/>
  <c r="K22" i="3" s="1"/>
  <c r="M22" i="3"/>
  <c r="N22" i="3" s="1"/>
  <c r="P22" i="3"/>
  <c r="AF22" i="3"/>
  <c r="E21" i="3"/>
  <c r="G21" i="3"/>
  <c r="H21" i="3" s="1"/>
  <c r="J21" i="3"/>
  <c r="K21" i="3" s="1"/>
  <c r="M21" i="3"/>
  <c r="N21" i="3" s="1"/>
  <c r="P21" i="3"/>
  <c r="AF21" i="3"/>
  <c r="E20" i="3"/>
  <c r="G20" i="3"/>
  <c r="H20" i="3"/>
  <c r="J20" i="3"/>
  <c r="K20" i="3" s="1"/>
  <c r="M20" i="3"/>
  <c r="N20" i="3" s="1"/>
  <c r="P20" i="3"/>
  <c r="AF20" i="3"/>
  <c r="M19" i="3"/>
  <c r="N19" i="3" s="1"/>
  <c r="M18" i="3"/>
  <c r="N18" i="3" s="1"/>
  <c r="M17" i="3"/>
  <c r="N17" i="3" s="1"/>
  <c r="M16" i="3"/>
  <c r="N16" i="3" s="1"/>
  <c r="M15" i="3"/>
  <c r="N15" i="3" s="1"/>
  <c r="M14" i="3"/>
  <c r="N14" i="3" s="1"/>
  <c r="M13" i="3"/>
  <c r="N13" i="3" s="1"/>
  <c r="M12" i="3"/>
  <c r="N12" i="3" s="1"/>
  <c r="M11" i="3"/>
  <c r="N11" i="3" s="1"/>
  <c r="M10" i="3"/>
  <c r="N10" i="3" s="1"/>
  <c r="J19" i="3"/>
  <c r="K19" i="3" s="1"/>
  <c r="J18" i="3"/>
  <c r="K18" i="3" s="1"/>
  <c r="J17" i="3"/>
  <c r="K17" i="3" s="1"/>
  <c r="J16" i="3"/>
  <c r="K16" i="3" s="1"/>
  <c r="J15" i="3"/>
  <c r="K15" i="3" s="1"/>
  <c r="J14" i="3"/>
  <c r="K14" i="3" s="1"/>
  <c r="J13" i="3"/>
  <c r="K13" i="3" s="1"/>
  <c r="J12" i="3"/>
  <c r="K12" i="3" s="1"/>
  <c r="J11" i="3"/>
  <c r="K11" i="3" s="1"/>
  <c r="J10" i="3"/>
  <c r="K10" i="3" s="1"/>
  <c r="G19" i="3"/>
  <c r="H19" i="3" s="1"/>
  <c r="G18" i="3"/>
  <c r="H18" i="3" s="1"/>
  <c r="G17" i="3"/>
  <c r="H17" i="3" s="1"/>
  <c r="G16" i="3"/>
  <c r="H16" i="3" s="1"/>
  <c r="G15" i="3"/>
  <c r="H15" i="3" s="1"/>
  <c r="G14" i="3"/>
  <c r="H14" i="3" s="1"/>
  <c r="G13" i="3"/>
  <c r="H13" i="3" s="1"/>
  <c r="G12" i="3"/>
  <c r="H12" i="3" s="1"/>
  <c r="G11" i="3"/>
  <c r="H11" i="3" s="1"/>
  <c r="G10" i="3"/>
  <c r="D13" i="3"/>
  <c r="E13" i="3" s="1"/>
  <c r="D14" i="3"/>
  <c r="E14" i="3" s="1"/>
  <c r="D15" i="3"/>
  <c r="E15" i="3" s="1"/>
  <c r="D16" i="3"/>
  <c r="E16" i="3" s="1"/>
  <c r="N25" i="3"/>
  <c r="H10" i="3" l="1"/>
  <c r="D17" i="3"/>
  <c r="D18" i="3"/>
  <c r="D19" i="3"/>
  <c r="P10" i="3" l="1"/>
  <c r="D60" i="30" l="1"/>
  <c r="E60" i="30" s="1"/>
  <c r="G60" i="30"/>
  <c r="G59" i="30"/>
  <c r="D59" i="30"/>
  <c r="E59" i="30" s="1"/>
  <c r="G58" i="30"/>
  <c r="D58" i="30"/>
  <c r="E58" i="30" s="1"/>
  <c r="G57" i="30"/>
  <c r="D57" i="30"/>
  <c r="E57" i="30" s="1"/>
  <c r="G56" i="30"/>
  <c r="D56" i="30"/>
  <c r="E56" i="30" s="1"/>
  <c r="G55" i="30"/>
  <c r="D55" i="30"/>
  <c r="E55" i="30" s="1"/>
  <c r="G54" i="30"/>
  <c r="D54" i="30"/>
  <c r="E54" i="30" s="1"/>
  <c r="G53" i="30"/>
  <c r="D53" i="30"/>
  <c r="E53" i="30" s="1"/>
  <c r="G52" i="30"/>
  <c r="D52" i="30"/>
  <c r="E52" i="30" s="1"/>
  <c r="G51" i="30"/>
  <c r="D51" i="30"/>
  <c r="E51" i="30" s="1"/>
  <c r="G50" i="30"/>
  <c r="D50" i="30"/>
  <c r="E50" i="30" s="1"/>
  <c r="G49" i="30"/>
  <c r="D49" i="30"/>
  <c r="E49" i="30" s="1"/>
  <c r="G48" i="30"/>
  <c r="D48" i="30"/>
  <c r="E48" i="30" s="1"/>
  <c r="G47" i="30"/>
  <c r="D47" i="30"/>
  <c r="E47" i="30" s="1"/>
  <c r="G46" i="30"/>
  <c r="D46" i="30"/>
  <c r="E46" i="30" s="1"/>
  <c r="G45" i="30"/>
  <c r="D45" i="30"/>
  <c r="E45" i="30" s="1"/>
  <c r="G44" i="30"/>
  <c r="D44" i="30"/>
  <c r="E44" i="30" s="1"/>
  <c r="G43" i="30"/>
  <c r="D43" i="30"/>
  <c r="E43" i="30" s="1"/>
  <c r="G42" i="30"/>
  <c r="D42" i="30"/>
  <c r="E42" i="30" s="1"/>
  <c r="G41" i="30"/>
  <c r="D41" i="30"/>
  <c r="E41" i="30" s="1"/>
  <c r="D40" i="30" l="1"/>
  <c r="E40" i="30" s="1"/>
  <c r="G40" i="30"/>
  <c r="D39" i="30"/>
  <c r="E39" i="30" s="1"/>
  <c r="G39" i="30"/>
  <c r="D38" i="30"/>
  <c r="E38" i="30" s="1"/>
  <c r="G38" i="30"/>
  <c r="D37" i="30"/>
  <c r="E37" i="30" s="1"/>
  <c r="G37" i="30"/>
  <c r="D36" i="30"/>
  <c r="E36" i="30" s="1"/>
  <c r="G36" i="30"/>
  <c r="D35" i="30"/>
  <c r="E35" i="30" s="1"/>
  <c r="G35" i="30"/>
  <c r="D34" i="30"/>
  <c r="E34" i="30" s="1"/>
  <c r="G34" i="30"/>
  <c r="D33" i="30"/>
  <c r="E33" i="30" s="1"/>
  <c r="G33" i="30"/>
  <c r="D32" i="30"/>
  <c r="E32" i="30" s="1"/>
  <c r="G32" i="30"/>
  <c r="D31" i="30"/>
  <c r="E31" i="30" s="1"/>
  <c r="G31" i="30"/>
  <c r="D30" i="30"/>
  <c r="E30" i="30" s="1"/>
  <c r="G30" i="30"/>
  <c r="D29" i="30"/>
  <c r="E29" i="30" s="1"/>
  <c r="G29" i="30"/>
  <c r="D28" i="30"/>
  <c r="E28" i="30" s="1"/>
  <c r="G28" i="30"/>
  <c r="D27" i="30"/>
  <c r="E27" i="30" s="1"/>
  <c r="G27" i="30"/>
  <c r="D26" i="30"/>
  <c r="E26" i="30" s="1"/>
  <c r="G26" i="30"/>
  <c r="D25" i="30"/>
  <c r="E25" i="30" s="1"/>
  <c r="G25" i="30"/>
  <c r="D24" i="30"/>
  <c r="E24" i="30" s="1"/>
  <c r="G24" i="30"/>
  <c r="D23" i="30"/>
  <c r="E23" i="30" s="1"/>
  <c r="G23" i="30"/>
  <c r="D22" i="30"/>
  <c r="E22" i="30" s="1"/>
  <c r="G22" i="30"/>
  <c r="D21" i="30"/>
  <c r="E21" i="30" s="1"/>
  <c r="G21" i="30"/>
  <c r="D20" i="30"/>
  <c r="E20" i="30" s="1"/>
  <c r="G20" i="30"/>
  <c r="D19" i="30"/>
  <c r="E19" i="30" s="1"/>
  <c r="G19" i="30"/>
  <c r="D18" i="30"/>
  <c r="E18" i="30" s="1"/>
  <c r="G18" i="30"/>
  <c r="D17" i="30" l="1"/>
  <c r="E17" i="30" s="1"/>
  <c r="G17" i="30"/>
  <c r="G16" i="30" l="1"/>
  <c r="D16" i="30"/>
  <c r="E16" i="30" s="1"/>
  <c r="G15" i="30"/>
  <c r="D15" i="30"/>
  <c r="E15" i="30" s="1"/>
  <c r="G14" i="30"/>
  <c r="D14" i="30"/>
  <c r="E14" i="30" s="1"/>
  <c r="G13" i="30"/>
  <c r="D13" i="30"/>
  <c r="E13" i="30" s="1"/>
  <c r="G12" i="30"/>
  <c r="D12" i="30"/>
  <c r="E12" i="30" s="1"/>
  <c r="G11" i="30"/>
  <c r="D11" i="30"/>
  <c r="E11" i="30" s="1"/>
  <c r="G10" i="30"/>
  <c r="D10" i="30"/>
  <c r="E10" i="30" s="1"/>
  <c r="C61" i="30"/>
  <c r="E2" i="8" l="1"/>
  <c r="E3" i="8"/>
  <c r="E4" i="8"/>
  <c r="E5" i="8"/>
  <c r="E6" i="8"/>
  <c r="E7" i="8"/>
  <c r="E8" i="8"/>
  <c r="E9" i="8"/>
  <c r="E10" i="8"/>
  <c r="E11" i="8"/>
  <c r="E12" i="8"/>
  <c r="E13" i="8"/>
  <c r="E14" i="8"/>
  <c r="E15" i="8" l="1"/>
  <c r="E16" i="8"/>
  <c r="E17" i="8"/>
  <c r="E18" i="8"/>
  <c r="E19" i="8"/>
  <c r="E20" i="8"/>
  <c r="E21" i="8"/>
  <c r="E22" i="8"/>
  <c r="E23" i="8"/>
  <c r="E24" i="8"/>
  <c r="E25" i="8"/>
  <c r="E40" i="8"/>
  <c r="E39" i="8"/>
  <c r="E38" i="8"/>
  <c r="E37" i="8"/>
  <c r="E36" i="8"/>
  <c r="E35" i="8"/>
  <c r="E34" i="8"/>
  <c r="E33" i="8"/>
  <c r="E32" i="8"/>
  <c r="E31" i="8"/>
  <c r="E30" i="8"/>
  <c r="E29" i="8"/>
  <c r="E28" i="8"/>
  <c r="E27" i="8"/>
  <c r="E26" i="8"/>
  <c r="P19" i="3" l="1"/>
  <c r="AF19" i="3"/>
  <c r="P18" i="3"/>
  <c r="AF18" i="3"/>
  <c r="P17" i="3"/>
  <c r="AF17" i="3"/>
  <c r="P16" i="3"/>
  <c r="AF16" i="3"/>
  <c r="P15" i="3"/>
  <c r="AF15" i="3"/>
  <c r="P14" i="3" l="1"/>
  <c r="AF14" i="3"/>
  <c r="P13" i="3" l="1"/>
  <c r="AF13" i="3"/>
  <c r="AF12" i="3" l="1"/>
  <c r="P12" i="3"/>
  <c r="AF11" i="3"/>
  <c r="P11" i="3"/>
  <c r="D11" i="3"/>
  <c r="E11" i="3" s="1"/>
  <c r="AF10" i="3"/>
  <c r="D10" i="3"/>
  <c r="E10" i="3" l="1"/>
  <c r="D12" i="3" l="1"/>
  <c r="E12" i="3" l="1"/>
  <c r="E17" i="3" l="1"/>
  <c r="E18" i="3"/>
  <c r="E19" i="3" l="1"/>
  <c r="E61" i="30"/>
  <c r="D61" i="30"/>
</calcChain>
</file>

<file path=xl/comments1.xml><?xml version="1.0" encoding="utf-8"?>
<comments xmlns="http://schemas.openxmlformats.org/spreadsheetml/2006/main">
  <authors>
    <author>J-P</author>
    <author>Windows User</author>
  </authors>
  <commentList>
    <comment ref="E2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Kokeen tyyppi: joko A tai B. Muu arvo tulkitaan B:ksi (esim. arvo "eksami" lasketaan B-kokeeksi).</t>
        </r>
      </text>
    </comment>
    <comment ref="H2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Kokeen tyyppi: joko A tai B. Muu arvo tulkitaan B:ksi (esim. arvo "eksami" lasketaan B-kokeeksi).</t>
        </r>
      </text>
    </comment>
    <comment ref="K2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Kokeen tyyppi: joko A tai B. Muu arvo tulkitaan B:ksi (esim. arvo "eksami" lasketaan B-kokeeksi).</t>
        </r>
      </text>
    </comment>
    <comment ref="N2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Kokeen tyyppi: joko A tai B. Muu arvo tulkitaan B:ksi (esim. arvo "eksami" lasketaan B-kokeeksi).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Kokeen vaikutus keskiarvoon prosentteina: 100 on oletus (vaikutus aritmeettisen keskiarvon mukainen). Jos haluat kokeelle pienemmän painoarvon, anna painoksi vaikkapa 50, jolloin koe vaikuttaa keskiarvoon puolet normaalista.</t>
        </r>
      </text>
    </comment>
    <comment ref="H3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Kokeen vaikutus keskiarvoon prosentteina: 100 on oletus (vaikutus aritmeettisen keskiarvon mukainen). Jos haluat kokeelle pienemmän painoarvon, anna painoksi vaikkapa 50, jolloin koe vaikuttaa keskiarvoon puolet normaalista.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Kokeen vaikutus keskiarvoon prosentteina: 100 on oletus (vaikutus aritmeettisen keskiarvon mukainen). Jos haluat kokeelle pienemmän painoarvon, anna painoksi vaikkapa 50, jolloin koe vaikuttaa keskiarvoon puolet normaalista.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Kokeen vaikutus keskiarvoon prosentteina: 100 on oletus (vaikutus aritmeettisen keskiarvon mukainen). Jos haluat kokeelle pienemmän painoarvon, anna painoksi vaikkapa 50, jolloin koe vaikuttaa keskiarvoon puolet normaalista.</t>
        </r>
      </text>
    </comment>
    <comment ref="E4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Kausi, jonka aikana koe pidetty. Käytä vain arvoja 1, 2, 3 tai 4.</t>
        </r>
      </text>
    </comment>
    <comment ref="H4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Kausi, jonka aikana koe pidetty. Käytä vain arvoja 1, 2, 3 tai 4.</t>
        </r>
      </text>
    </comment>
    <comment ref="K4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Kausi, jonka aikana koe pidetty. Käytä vain arvoja 1, 2, 3 tai 4.</t>
        </r>
      </text>
    </comment>
    <comment ref="N4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Kausi, jonka aikana koe pidetty. Käytä vain arvoja 1, 2, 3 tai 4.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Alin hyväksytty arvosana.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Alin hyväksytty arvosana.</t>
        </r>
      </text>
    </comment>
    <comment ref="K5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Alin hyväksytty arvosana.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Alin hyväksytty arvosana.</t>
        </r>
      </text>
    </comment>
    <comment ref="E6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Arvosana maksimipisteillä. Jos haluat, että kympin saa alle maksimipisteillä, aseta tähän esimerkiksi 10.25, jolloin kokeesta saa maksimipisteillä arvosanan 10+. Jos taas kympin saa vain maksimilla, anna arvoksi tasan 10.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Arvosana maksimipisteillä. Jos haluat, että kympin saa alle maksimipisteillä, aseta tähän esimerkiksi 10.25, jolloin kokeesta saa maksimipisteillä arvosanan 10+. Jos taas kympin saa vain maksimilla, anna arvoksi tasan 10.</t>
        </r>
      </text>
    </comment>
    <comment ref="K6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Arvosana maksimipisteillä. Jos haluat, että kympin saa alle maksimipisteillä, aseta tähän esimerkiksi 10.25, jolloin kokeesta saa maksimipisteillä arvosanan 10+. Jos taas kympin saa vain maksimilla, anna arvoksi tasan 10.</t>
        </r>
      </text>
    </comment>
    <comment ref="N6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Arvosana maksimipisteillä. Jos haluat, että kympin saa alle maksimipisteillä, aseta tähän esimerkiksi 10.25, jolloin kokeesta saa maksimipisteillä arvosanan 10+. Jos taas kympin saa vain maksimilla, anna arvoksi tasan 10.</t>
        </r>
      </text>
    </comment>
    <comment ref="E7" authorId="1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Läpipääsykynnys: näin suuri osa pisteistä tarvitaan numeroon 6.</t>
        </r>
      </text>
    </comment>
    <comment ref="H7" authorId="1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Läpipääsykynnys: näin suuri osa pisteistä tarvitaan numeroon 6.</t>
        </r>
      </text>
    </comment>
    <comment ref="K7" authorId="1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Läpipääsykynnys: näin suuri osa pisteistä tarvitaan numeroon 6.</t>
        </r>
      </text>
    </comment>
    <comment ref="N7" authorId="1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Läpipääsykynnys: näin suuri osa pisteistä tarvitaan numeroon 6.</t>
        </r>
      </text>
    </comment>
    <comment ref="E8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Kokeesta saatavat maksimipisteet.</t>
        </r>
      </text>
    </comment>
    <comment ref="H8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Kokeesta saatavat maksimipisteet.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Kokeesta saatavat maksimipisteet.</t>
        </r>
      </text>
    </comment>
    <comment ref="N8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Kokeesta saatavat maksimipisteet.</t>
        </r>
      </text>
    </comment>
  </commentList>
</comments>
</file>

<file path=xl/comments2.xml><?xml version="1.0" encoding="utf-8"?>
<comments xmlns="http://schemas.openxmlformats.org/spreadsheetml/2006/main">
  <authors>
    <author>J-P</author>
    <author>Windows User</author>
  </authors>
  <commentList>
    <comment ref="E2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Kokeen tyyppi: joko A tai B. Muu arvo tulkitaan B:ksi (esim. arvo "eksami" lasketaan B-kokeeksi).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Kokeen vaikutus keskiarvoon prosentteina: 100 on oletus (vaikutus aritmeettisen keskiarvon mukainen). Jos haluat kokeelle pienemmän painoarvon, anna painoksi vaikkapa 50, jolloin koe vaikuttaa keskiarvoon puolet normaalista.</t>
        </r>
      </text>
    </comment>
    <comment ref="E4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Kausi, jonka aikana koe pidetty. Käytä vain arvoja 1, 2, 3 tai 4.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Alin hyväksytty arvosana.</t>
        </r>
      </text>
    </comment>
    <comment ref="E6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Arvosana maksimipisteillä. Jos haluat, että kympin saa alle maksimipisteillä, aseta tähän esimerkiksi 10.25, jolloin kokeesta saa maksimipisteillä arvosanan 10+. Jos taas kympin saa vain maksimilla, anna arvoksi tasan 10.</t>
        </r>
      </text>
    </comment>
    <comment ref="E7" authorId="1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Läpipääsykynnys: näin suuri osa pisteistä tarvitaan numeroon 6.</t>
        </r>
      </text>
    </comment>
    <comment ref="E8" authorId="0" shapeId="0">
      <text>
        <r>
          <rPr>
            <b/>
            <sz val="9"/>
            <color indexed="81"/>
            <rFont val="Tahoma"/>
            <family val="2"/>
          </rPr>
          <t>J-P:</t>
        </r>
        <r>
          <rPr>
            <sz val="9"/>
            <color indexed="81"/>
            <rFont val="Tahoma"/>
            <family val="2"/>
          </rPr>
          <t xml:space="preserve">
Kokeesta saatavat maksimipisteet.</t>
        </r>
      </text>
    </comment>
  </commentList>
</comments>
</file>

<file path=xl/sharedStrings.xml><?xml version="1.0" encoding="utf-8"?>
<sst xmlns="http://schemas.openxmlformats.org/spreadsheetml/2006/main" count="245" uniqueCount="123">
  <si>
    <t>Kurssitiedot</t>
  </si>
  <si>
    <t>Nro</t>
  </si>
  <si>
    <t>Oppilas</t>
  </si>
  <si>
    <t>Pisteet</t>
  </si>
  <si>
    <t>%</t>
  </si>
  <si>
    <t>Arvo-sana</t>
  </si>
  <si>
    <t>Keskiarvot:</t>
  </si>
  <si>
    <t>Max pisteet:</t>
  </si>
  <si>
    <t>Läpipääsypros:</t>
  </si>
  <si>
    <t>Arvosana läpi:</t>
  </si>
  <si>
    <t>Arvosana max:</t>
  </si>
  <si>
    <t>Kausi 4: kevät loppuosa.</t>
  </si>
  <si>
    <t>Arviointikausi:</t>
  </si>
  <si>
    <t>Arviointikaudet EEB2:ssa:</t>
  </si>
  <si>
    <t>Kauden 1</t>
  </si>
  <si>
    <t>Kauden 2</t>
  </si>
  <si>
    <t>Kauden 3</t>
  </si>
  <si>
    <t>Kauden 4</t>
  </si>
  <si>
    <t>Syksyn</t>
  </si>
  <si>
    <t>Kevään</t>
  </si>
  <si>
    <t>Vuoden</t>
  </si>
  <si>
    <t>Arvo-sanat</t>
  </si>
  <si>
    <t>Kokeen paino:</t>
  </si>
  <si>
    <t>Koe</t>
  </si>
  <si>
    <t>Kokeen tyyppi:</t>
  </si>
  <si>
    <t>A</t>
  </si>
  <si>
    <t>Kaikki kokeet</t>
  </si>
  <si>
    <t>A-kokeet</t>
  </si>
  <si>
    <t>B-kokeet (&amp; examit)</t>
  </si>
  <si>
    <t>Syys-</t>
  </si>
  <si>
    <t>Kevät-</t>
  </si>
  <si>
    <t>Vuosi-</t>
  </si>
  <si>
    <t>Viimeinen vuosiarvosana</t>
  </si>
  <si>
    <t>Viime vuotta edeltävä vuosiarvosana</t>
  </si>
  <si>
    <t>raportti</t>
  </si>
  <si>
    <t>arvosana</t>
  </si>
  <si>
    <t>B</t>
  </si>
  <si>
    <t>Kausi 1: syksy alkuosa - ennen ensimmäistä arviointia.</t>
  </si>
  <si>
    <t>Kausi 2: syksy loppuosa - ensimmäisen ja toisen arvioinnin välissä.</t>
  </si>
  <si>
    <t>Kausi 3: kevät alkuosa - toisen ja kolmannen arvioinnin välissä.</t>
  </si>
  <si>
    <t>OHJE: Kirjoita vapaasti valkealle pohjalle, muttei muualle!</t>
  </si>
  <si>
    <t>Tammiarvosana</t>
  </si>
  <si>
    <t>Kesäarvosana</t>
  </si>
  <si>
    <t>ThisWorkbook.Sheets("SSSSSS").Unprotect "myPassword"</t>
  </si>
  <si>
    <t>Tähän kopioi Extranetistä (Students)</t>
  </si>
  <si>
    <t>Muokkaus (älä muokkaa käsin)</t>
  </si>
  <si>
    <t>Good work. Go on in the same way!</t>
  </si>
  <si>
    <t>Good work!</t>
  </si>
  <si>
    <t>You could do better. Focus in the lessons! </t>
  </si>
  <si>
    <t>Some more effort needed.</t>
  </si>
  <si>
    <t>More effort needed! Remember to ask if you haven't understood something.</t>
  </si>
  <si>
    <t>Good work. Some more effort is never bad.</t>
  </si>
  <si>
    <t>Good work, excellent results!</t>
  </si>
  <si>
    <t>More effort and focus needed! You could do better but you have to work for it!</t>
  </si>
  <si>
    <t>Good work. Just keep thoughts in ICT!</t>
  </si>
  <si>
    <t>Very good!</t>
  </si>
  <si>
    <t>Very good work on Codacademy, but the real development was more of a challenge (as usual).</t>
  </si>
  <si>
    <t>Excellent work!</t>
  </si>
  <si>
    <t>You have learned a lot! Keep on working!</t>
  </si>
  <si>
    <t>Great work on Codeacademy, but the real development was a bit harder. You must do a little more to keep this grade.</t>
  </si>
  <si>
    <t>Less talking, more working!</t>
  </si>
  <si>
    <t>It's not so easy sometimes, but keep working!</t>
  </si>
  <si>
    <t>Put some more effort to finish your works. Otherwise you have a good attitude!</t>
  </si>
  <si>
    <t>Some more effort needed. You've got more to show!</t>
  </si>
  <si>
    <t>Excellent!</t>
  </si>
  <si>
    <t>Fortfarande bra jobbat!</t>
  </si>
  <si>
    <t>Du kan mycket men fokusering är ofta någon annanstans.</t>
  </si>
  <si>
    <t>Du jobbar jättebra och vågar fråga när du behöver hjälp!</t>
  </si>
  <si>
    <t>Bra jobbat!</t>
  </si>
  <si>
    <t>Utmärkt!</t>
  </si>
  <si>
    <t>Flera uppgifter saknas men vanligtvis jobbar du bra.</t>
  </si>
  <si>
    <t>Du lämnade in bara en uppgift! Fokusera på att slutföra dina uppgifter!</t>
  </si>
  <si>
    <t>Bra attityd, fortsätt på samma sätt!</t>
  </si>
  <si>
    <t>Dina prestationer varierar ganska mycket och många uppgifter blir inte färdiga. Du är jättebra på vissa områden men försök fokusera också på sådant som du inte genast känner dragning till.</t>
  </si>
  <si>
    <t>Du har en positiv attityd! Kom ihåg att läsa igenom uppgiften innan du lämnar den.</t>
  </si>
  <si>
    <t>Sakta men säkert! Fortsätt bara!</t>
  </si>
  <si>
    <t>S3 ICT  2017-2018</t>
  </si>
  <si>
    <t>Show</t>
  </si>
  <si>
    <t>KLAAVU</t>
  </si>
  <si>
    <t>Matteo</t>
  </si>
  <si>
    <t>CATALDI ANTTONEN</t>
  </si>
  <si>
    <t>Massimo</t>
  </si>
  <si>
    <t>DA COSTA CABRAL</t>
  </si>
  <si>
    <t>Caterina</t>
  </si>
  <si>
    <t>DESLANDES</t>
  </si>
  <si>
    <t>Paul</t>
  </si>
  <si>
    <t>DISSING</t>
  </si>
  <si>
    <t>Leon</t>
  </si>
  <si>
    <t>ESPOSITO</t>
  </si>
  <si>
    <t>Alexandre</t>
  </si>
  <si>
    <t>GUEDES DE CAMPOS</t>
  </si>
  <si>
    <t>Afonso</t>
  </si>
  <si>
    <t>Oskar</t>
  </si>
  <si>
    <t>LISO</t>
  </si>
  <si>
    <t>Gianluca</t>
  </si>
  <si>
    <t>PACE</t>
  </si>
  <si>
    <t>Fabrizio</t>
  </si>
  <si>
    <t>TIMMERMAN</t>
  </si>
  <si>
    <t>Lorenzo</t>
  </si>
  <si>
    <t>TØNNESSEN</t>
  </si>
  <si>
    <t>Tobias</t>
  </si>
  <si>
    <t>VERSECKAS</t>
  </si>
  <si>
    <t>Petras Stanley</t>
  </si>
  <si>
    <t>rtyrt</t>
  </si>
  <si>
    <t>S</t>
  </si>
  <si>
    <t>Student 1</t>
  </si>
  <si>
    <t>Student 2</t>
  </si>
  <si>
    <t>Student 3</t>
  </si>
  <si>
    <t>Student 4</t>
  </si>
  <si>
    <t>Student 5</t>
  </si>
  <si>
    <t>Student 6</t>
  </si>
  <si>
    <t>Student 7</t>
  </si>
  <si>
    <t>Student 8</t>
  </si>
  <si>
    <t>Student 9</t>
  </si>
  <si>
    <t>Student 10</t>
  </si>
  <si>
    <t>kaikkien testien keskiarvot</t>
  </si>
  <si>
    <t>-</t>
  </si>
  <si>
    <t>Student 11</t>
  </si>
  <si>
    <t>Exam</t>
  </si>
  <si>
    <t>Student 12</t>
  </si>
  <si>
    <t>Student 13</t>
  </si>
  <si>
    <t>Student 14</t>
  </si>
  <si>
    <t>Student 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</si>
</sst>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</fills>
  <borders count="69">
    <border>
      <left/>
      <right/>
      <top/>
      <bottom/>
      <diagonal/>
    </border>
    <border>
      <left style="mediumDashed">
        <color theme="9" tint="-0.2499465926084170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theme="1"/>
      </left>
      <right style="mediumDashed">
        <color theme="9" tint="-0.24994659260841701"/>
      </right>
      <top style="hair">
        <color theme="1"/>
      </top>
      <bottom style="hair">
        <color theme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Dashed">
        <color theme="9" tint="-0.2499465926084170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theme="1"/>
      </left>
      <right style="mediumDashed">
        <color theme="9" tint="-0.24994659260841701"/>
      </right>
      <top/>
      <bottom style="hair">
        <color theme="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 style="medium">
        <color theme="9" tint="-0.24994659260841701"/>
      </bottom>
      <diagonal/>
    </border>
    <border>
      <left/>
      <right/>
      <top style="medium">
        <color theme="9" tint="-0.24994659260841701"/>
      </top>
      <bottom style="medium">
        <color theme="9" tint="-0.24994659260841701"/>
      </bottom>
      <diagonal/>
    </border>
    <border>
      <left/>
      <right style="medium">
        <color theme="9" tint="-0.24994659260841701"/>
      </right>
      <top style="medium">
        <color theme="9" tint="-0.24994659260841701"/>
      </top>
      <bottom style="medium">
        <color theme="9" tint="-0.24994659260841701"/>
      </bottom>
      <diagonal/>
    </border>
    <border>
      <left/>
      <right/>
      <top style="medium">
        <color theme="9" tint="-0.24994659260841701"/>
      </top>
      <bottom/>
      <diagonal/>
    </border>
    <border>
      <left style="dashed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dashed">
        <color theme="9" tint="-0.24994659260841701"/>
      </bottom>
      <diagonal/>
    </border>
    <border>
      <left style="medium">
        <color theme="9" tint="-0.24994659260841701"/>
      </left>
      <right style="dashed">
        <color theme="9" tint="-0.24994659260841701"/>
      </right>
      <top style="dashed">
        <color theme="9" tint="-0.24994659260841701"/>
      </top>
      <bottom style="dashed">
        <color theme="9" tint="-0.24994659260841701"/>
      </bottom>
      <diagonal/>
    </border>
    <border>
      <left style="dashed">
        <color theme="9" tint="-0.24994659260841701"/>
      </left>
      <right style="dashed">
        <color theme="9" tint="-0.24994659260841701"/>
      </right>
      <top style="dashed">
        <color theme="9" tint="-0.24994659260841701"/>
      </top>
      <bottom style="dashed">
        <color theme="9" tint="-0.24994659260841701"/>
      </bottom>
      <diagonal/>
    </border>
    <border>
      <left style="dashed">
        <color theme="9" tint="-0.24994659260841701"/>
      </left>
      <right style="medium">
        <color theme="9" tint="-0.24994659260841701"/>
      </right>
      <top style="dashed">
        <color theme="9" tint="-0.24994659260841701"/>
      </top>
      <bottom style="dashed">
        <color theme="9" tint="-0.24994659260841701"/>
      </bottom>
      <diagonal/>
    </border>
    <border>
      <left style="medium">
        <color theme="9" tint="-0.24994659260841701"/>
      </left>
      <right style="dashed">
        <color theme="9" tint="-0.24994659260841701"/>
      </right>
      <top style="dashed">
        <color theme="9" tint="-0.24994659260841701"/>
      </top>
      <bottom style="medium">
        <color theme="9" tint="-0.24994659260841701"/>
      </bottom>
      <diagonal/>
    </border>
    <border>
      <left style="dashed">
        <color theme="9" tint="-0.24994659260841701"/>
      </left>
      <right style="dashed">
        <color theme="9" tint="-0.24994659260841701"/>
      </right>
      <top style="dashed">
        <color theme="9" tint="-0.24994659260841701"/>
      </top>
      <bottom style="medium">
        <color theme="9" tint="-0.24994659260841701"/>
      </bottom>
      <diagonal/>
    </border>
    <border>
      <left style="dashed">
        <color theme="9" tint="-0.24994659260841701"/>
      </left>
      <right style="medium">
        <color theme="9" tint="-0.24994659260841701"/>
      </right>
      <top style="dashed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 style="medium">
        <color theme="9" tint="-0.24994659260841701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/>
      <diagonal/>
    </border>
    <border>
      <left/>
      <right style="medium">
        <color theme="9" tint="-0.24994659260841701"/>
      </right>
      <top/>
      <bottom/>
      <diagonal/>
    </border>
    <border>
      <left style="medium">
        <color theme="9" tint="-0.24994659260841701"/>
      </left>
      <right/>
      <top/>
      <bottom style="dashed">
        <color theme="9" tint="-0.24994659260841701"/>
      </bottom>
      <diagonal/>
    </border>
    <border>
      <left style="hair">
        <color theme="1"/>
      </left>
      <right style="medium">
        <color theme="9" tint="-0.24994659260841701"/>
      </right>
      <top/>
      <bottom style="dashed">
        <color theme="9" tint="-0.24994659260841701"/>
      </bottom>
      <diagonal/>
    </border>
    <border>
      <left/>
      <right/>
      <top style="dashed">
        <color theme="9" tint="-0.24994659260841701"/>
      </top>
      <bottom style="dashed">
        <color theme="9" tint="-0.24994659260841701"/>
      </bottom>
      <diagonal/>
    </border>
    <border>
      <left style="medium">
        <color theme="9" tint="-0.24994659260841701"/>
      </left>
      <right/>
      <top style="dashed">
        <color theme="9" tint="-0.24994659260841701"/>
      </top>
      <bottom style="dashed">
        <color theme="9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 style="dashed">
        <color theme="9" tint="-0.24994659260841701"/>
      </bottom>
      <diagonal/>
    </border>
    <border>
      <left/>
      <right style="dashed">
        <color theme="9" tint="-0.24994659260841701"/>
      </right>
      <top style="medium">
        <color theme="9" tint="-0.24994659260841701"/>
      </top>
      <bottom style="dashed">
        <color theme="9" tint="-0.24994659260841701"/>
      </bottom>
      <diagonal/>
    </border>
    <border>
      <left/>
      <right style="dashed">
        <color theme="9" tint="-0.24994659260841701"/>
      </right>
      <top/>
      <bottom style="dashed">
        <color theme="9" tint="-0.24994659260841701"/>
      </bottom>
      <diagonal/>
    </border>
    <border>
      <left style="dashed">
        <color theme="9" tint="-0.24994659260841701"/>
      </left>
      <right style="medium">
        <color theme="9" tint="-0.24994659260841701"/>
      </right>
      <top/>
      <bottom/>
      <diagonal/>
    </border>
    <border>
      <left style="thick">
        <color theme="1" tint="0.24994659260841701"/>
      </left>
      <right/>
      <top style="thick">
        <color theme="1" tint="0.24994659260841701"/>
      </top>
      <bottom/>
      <diagonal/>
    </border>
    <border>
      <left/>
      <right/>
      <top style="thick">
        <color theme="1" tint="0.24994659260841701"/>
      </top>
      <bottom/>
      <diagonal/>
    </border>
    <border>
      <left/>
      <right style="thick">
        <color theme="1" tint="0.24994659260841701"/>
      </right>
      <top style="thick">
        <color theme="1" tint="0.24994659260841701"/>
      </top>
      <bottom/>
      <diagonal/>
    </border>
    <border>
      <left style="thick">
        <color theme="1" tint="0.24994659260841701"/>
      </left>
      <right/>
      <top/>
      <bottom style="thick">
        <color theme="1" tint="0.24994659260841701"/>
      </bottom>
      <diagonal/>
    </border>
    <border>
      <left/>
      <right/>
      <top/>
      <bottom style="thick">
        <color theme="1" tint="0.24994659260841701"/>
      </bottom>
      <diagonal/>
    </border>
    <border>
      <left/>
      <right style="thick">
        <color theme="1" tint="0.24994659260841701"/>
      </right>
      <top/>
      <bottom style="thick">
        <color theme="1" tint="0.2499465926084170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hair">
        <color theme="1"/>
      </bottom>
      <diagonal/>
    </border>
    <border>
      <left style="thin">
        <color theme="1"/>
      </left>
      <right style="thin">
        <color theme="1"/>
      </right>
      <top style="hair">
        <color theme="1"/>
      </top>
      <bottom style="hair">
        <color theme="1"/>
      </bottom>
      <diagonal/>
    </border>
    <border>
      <left style="thin">
        <color theme="1"/>
      </left>
      <right style="thin">
        <color theme="1"/>
      </right>
      <top style="hair">
        <color theme="1"/>
      </top>
      <bottom style="thin">
        <color theme="1"/>
      </bottom>
      <diagonal/>
    </border>
    <border>
      <left style="mediumDashed">
        <color theme="9" tint="-0.24994659260841701"/>
      </left>
      <right/>
      <top/>
      <bottom style="medium">
        <color theme="9" tint="-0.24994659260841701"/>
      </bottom>
      <diagonal/>
    </border>
    <border>
      <left/>
      <right/>
      <top/>
      <bottom style="medium">
        <color theme="9" tint="-0.24994659260841701"/>
      </bottom>
      <diagonal/>
    </border>
    <border>
      <left style="dashed">
        <color theme="9" tint="-0.24994659260841701"/>
      </left>
      <right style="dashed">
        <color theme="9" tint="-0.24994659260841701"/>
      </right>
      <top style="hair">
        <color auto="1"/>
      </top>
      <bottom style="medium">
        <color theme="9" tint="-0.2499465926084170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 style="hair">
        <color indexed="64"/>
      </bottom>
      <diagonal/>
    </border>
    <border>
      <left style="thin">
        <color theme="1"/>
      </left>
      <right/>
      <top style="hair">
        <color indexed="64"/>
      </top>
      <bottom style="hair">
        <color indexed="64"/>
      </bottom>
      <diagonal/>
    </border>
    <border>
      <left style="thin">
        <color theme="1"/>
      </left>
      <right/>
      <top style="hair">
        <color indexed="64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/>
      <bottom style="thin">
        <color indexed="64"/>
      </bottom>
      <diagonal/>
    </border>
    <border>
      <left/>
      <right style="thin">
        <color theme="1"/>
      </right>
      <top style="thin">
        <color indexed="64"/>
      </top>
      <bottom style="hair">
        <color indexed="64"/>
      </bottom>
      <diagonal/>
    </border>
    <border>
      <left/>
      <right style="thin">
        <color theme="1"/>
      </right>
      <top style="hair">
        <color indexed="64"/>
      </top>
      <bottom style="hair">
        <color indexed="64"/>
      </bottom>
      <diagonal/>
    </border>
    <border>
      <left/>
      <right style="thin">
        <color theme="1"/>
      </right>
      <top style="hair">
        <color indexed="64"/>
      </top>
      <bottom style="thin">
        <color theme="1"/>
      </bottom>
      <diagonal/>
    </border>
    <border>
      <left style="thin">
        <color theme="1" tint="0.499984740745262"/>
      </left>
      <right style="thin">
        <color theme="0" tint="-0.14996795556505021"/>
      </right>
      <top style="thin">
        <color theme="1"/>
      </top>
      <bottom/>
      <diagonal/>
    </border>
    <border>
      <left style="thin">
        <color theme="0" tint="-0.14996795556505021"/>
      </left>
      <right style="thin">
        <color theme="1" tint="0.499984740745262"/>
      </right>
      <top style="thin">
        <color theme="1"/>
      </top>
      <bottom/>
      <diagonal/>
    </border>
    <border>
      <left style="thin">
        <color theme="1" tint="0.499984740745262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1" tint="0.499984740745262"/>
      </right>
      <top/>
      <bottom style="thin">
        <color indexed="64"/>
      </bottom>
      <diagonal/>
    </border>
    <border>
      <left style="thin">
        <color theme="1" tint="0.499984740745262"/>
      </left>
      <right style="thin">
        <color theme="0" tint="-0.14996795556505021"/>
      </right>
      <top style="thin">
        <color indexed="64"/>
      </top>
      <bottom style="hair">
        <color indexed="64"/>
      </bottom>
      <diagonal/>
    </border>
    <border>
      <left style="thin">
        <color theme="0" tint="-0.14996795556505021"/>
      </left>
      <right style="thin">
        <color theme="1" tint="0.499984740745262"/>
      </right>
      <top style="thin">
        <color indexed="64"/>
      </top>
      <bottom style="hair">
        <color indexed="64"/>
      </bottom>
      <diagonal/>
    </border>
    <border>
      <left style="thin">
        <color theme="1" tint="0.499984740745262"/>
      </left>
      <right style="thin">
        <color theme="0" tint="-0.14996795556505021"/>
      </right>
      <top style="hair">
        <color indexed="64"/>
      </top>
      <bottom style="hair">
        <color indexed="64"/>
      </bottom>
      <diagonal/>
    </border>
    <border>
      <left style="thin">
        <color theme="0" tint="-0.14996795556505021"/>
      </left>
      <right style="thin">
        <color theme="1" tint="0.499984740745262"/>
      </right>
      <top style="hair">
        <color auto="1"/>
      </top>
      <bottom style="hair">
        <color auto="1"/>
      </bottom>
      <diagonal/>
    </border>
    <border>
      <left style="thin">
        <color theme="1" tint="0.499984740745262"/>
      </left>
      <right style="thin">
        <color theme="0" tint="-0.14996795556505021"/>
      </right>
      <top style="hair">
        <color indexed="64"/>
      </top>
      <bottom style="thin">
        <color theme="1"/>
      </bottom>
      <diagonal/>
    </border>
    <border>
      <left style="thin">
        <color theme="0" tint="-0.14996795556505021"/>
      </left>
      <right style="thin">
        <color theme="1" tint="0.499984740745262"/>
      </right>
      <top style="hair">
        <color indexed="64"/>
      </top>
      <bottom style="thin">
        <color theme="1"/>
      </bottom>
      <diagonal/>
    </border>
  </borders>
  <cellStyleXfs count="1">
    <xf numFmtId="0" fontId="0" fillId="0" borderId="0"/>
  </cellStyleXfs>
  <cellXfs count="132">
    <xf numFmtId="0" fontId="0" fillId="0" borderId="0" xfId="0"/>
    <xf numFmtId="0" fontId="0" fillId="4" borderId="4" xfId="0" applyFill="1" applyBorder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right"/>
    </xf>
    <xf numFmtId="0" fontId="8" fillId="2" borderId="0" xfId="0" applyFont="1" applyFill="1" applyAlignment="1">
      <alignment horizontal="center" vertical="center"/>
    </xf>
    <xf numFmtId="0" fontId="0" fillId="2" borderId="0" xfId="0" applyFill="1"/>
    <xf numFmtId="0" fontId="1" fillId="4" borderId="10" xfId="0" applyFont="1" applyFill="1" applyBorder="1" applyAlignment="1">
      <alignment horizontal="center"/>
    </xf>
    <xf numFmtId="0" fontId="7" fillId="6" borderId="27" xfId="0" applyFont="1" applyFill="1" applyBorder="1" applyAlignment="1">
      <alignment horizontal="left"/>
    </xf>
    <xf numFmtId="0" fontId="7" fillId="6" borderId="28" xfId="0" applyFont="1" applyFill="1" applyBorder="1" applyAlignment="1">
      <alignment horizontal="left"/>
    </xf>
    <xf numFmtId="0" fontId="7" fillId="6" borderId="23" xfId="0" applyFont="1" applyFill="1" applyBorder="1" applyAlignment="1">
      <alignment horizontal="left"/>
    </xf>
    <xf numFmtId="0" fontId="7" fillId="6" borderId="29" xfId="0" applyFont="1" applyFill="1" applyBorder="1" applyAlignment="1">
      <alignment horizontal="left"/>
    </xf>
    <xf numFmtId="164" fontId="1" fillId="7" borderId="3" xfId="0" applyNumberFormat="1" applyFont="1" applyFill="1" applyBorder="1" applyAlignment="1">
      <alignment horizontal="center"/>
    </xf>
    <xf numFmtId="1" fontId="0" fillId="7" borderId="2" xfId="0" applyNumberFormat="1" applyFont="1" applyFill="1" applyBorder="1" applyAlignment="1">
      <alignment horizontal="center"/>
    </xf>
    <xf numFmtId="0" fontId="7" fillId="3" borderId="22" xfId="0" applyFont="1" applyFill="1" applyBorder="1" applyAlignment="1">
      <alignment textRotation="45"/>
    </xf>
    <xf numFmtId="164" fontId="0" fillId="12" borderId="40" xfId="0" applyNumberFormat="1" applyFill="1" applyBorder="1" applyAlignment="1">
      <alignment horizontal="center"/>
    </xf>
    <xf numFmtId="0" fontId="0" fillId="11" borderId="0" xfId="0" applyFill="1"/>
    <xf numFmtId="0" fontId="11" fillId="11" borderId="0" xfId="0" applyFont="1" applyFill="1"/>
    <xf numFmtId="0" fontId="1" fillId="11" borderId="0" xfId="0" applyFont="1" applyFill="1" applyBorder="1" applyAlignment="1">
      <alignment horizontal="center"/>
    </xf>
    <xf numFmtId="0" fontId="0" fillId="11" borderId="11" xfId="0" applyFill="1" applyBorder="1"/>
    <xf numFmtId="0" fontId="0" fillId="11" borderId="11" xfId="0" applyFill="1" applyBorder="1" applyAlignment="1">
      <alignment horizontal="right"/>
    </xf>
    <xf numFmtId="164" fontId="1" fillId="11" borderId="11" xfId="0" applyNumberFormat="1" applyFont="1" applyFill="1" applyBorder="1" applyAlignment="1">
      <alignment horizontal="center"/>
    </xf>
    <xf numFmtId="0" fontId="1" fillId="11" borderId="0" xfId="0" applyFont="1" applyFill="1"/>
    <xf numFmtId="0" fontId="0" fillId="11" borderId="0" xfId="0" applyFill="1" applyBorder="1" applyAlignment="1">
      <alignment horizontal="left"/>
    </xf>
    <xf numFmtId="0" fontId="12" fillId="11" borderId="0" xfId="0" applyFont="1" applyFill="1" applyBorder="1" applyAlignment="1">
      <alignment horizontal="center" vertical="center"/>
    </xf>
    <xf numFmtId="0" fontId="10" fillId="11" borderId="0" xfId="0" applyFont="1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3" fillId="11" borderId="0" xfId="0" applyFont="1" applyFill="1" applyBorder="1" applyAlignment="1">
      <alignment horizontal="center" vertical="center" wrapText="1"/>
    </xf>
    <xf numFmtId="0" fontId="0" fillId="11" borderId="0" xfId="0" applyFill="1" applyBorder="1"/>
    <xf numFmtId="0" fontId="0" fillId="11" borderId="21" xfId="0" applyFill="1" applyBorder="1"/>
    <xf numFmtId="0" fontId="16" fillId="0" borderId="0" xfId="0" applyFont="1" applyFill="1"/>
    <xf numFmtId="0" fontId="16" fillId="0" borderId="0" xfId="0" applyFont="1"/>
    <xf numFmtId="164" fontId="1" fillId="3" borderId="41" xfId="0" applyNumberFormat="1" applyFont="1" applyFill="1" applyBorder="1" applyAlignment="1">
      <alignment horizontal="center"/>
    </xf>
    <xf numFmtId="164" fontId="1" fillId="3" borderId="42" xfId="0" applyNumberFormat="1" applyFont="1" applyFill="1" applyBorder="1" applyAlignment="1">
      <alignment horizontal="center"/>
    </xf>
    <xf numFmtId="164" fontId="1" fillId="3" borderId="43" xfId="0" applyNumberFormat="1" applyFont="1" applyFill="1" applyBorder="1" applyAlignment="1">
      <alignment horizontal="center"/>
    </xf>
    <xf numFmtId="0" fontId="0" fillId="11" borderId="0" xfId="0" applyFill="1" applyAlignment="1">
      <alignment horizontal="center"/>
    </xf>
    <xf numFmtId="164" fontId="0" fillId="3" borderId="16" xfId="0" applyNumberFormat="1" applyFill="1" applyBorder="1" applyAlignment="1">
      <alignment horizontal="center"/>
    </xf>
    <xf numFmtId="164" fontId="0" fillId="3" borderId="18" xfId="0" applyNumberFormat="1" applyFill="1" applyBorder="1" applyAlignment="1">
      <alignment horizontal="center"/>
    </xf>
    <xf numFmtId="0" fontId="19" fillId="11" borderId="0" xfId="0" applyFont="1" applyFill="1" applyAlignment="1">
      <alignment horizontal="center"/>
    </xf>
    <xf numFmtId="0" fontId="16" fillId="11" borderId="0" xfId="0" applyFont="1" applyFill="1"/>
    <xf numFmtId="0" fontId="2" fillId="0" borderId="2" xfId="0" applyFont="1" applyBorder="1" applyAlignment="1" applyProtection="1">
      <alignment horizontal="left"/>
      <protection locked="0"/>
    </xf>
    <xf numFmtId="0" fontId="0" fillId="5" borderId="12" xfId="0" applyFont="1" applyFill="1" applyBorder="1" applyAlignment="1" applyProtection="1">
      <alignment horizontal="center"/>
      <protection locked="0"/>
    </xf>
    <xf numFmtId="0" fontId="0" fillId="5" borderId="30" xfId="0" applyFont="1" applyFill="1" applyBorder="1" applyAlignment="1" applyProtection="1">
      <alignment horizontal="center"/>
      <protection locked="0"/>
    </xf>
    <xf numFmtId="0" fontId="0" fillId="5" borderId="15" xfId="0" applyFont="1" applyFill="1" applyBorder="1" applyAlignment="1" applyProtection="1">
      <alignment horizontal="center"/>
      <protection locked="0"/>
    </xf>
    <xf numFmtId="2" fontId="0" fillId="0" borderId="15" xfId="0" applyNumberFormat="1" applyFont="1" applyFill="1" applyBorder="1" applyAlignment="1" applyProtection="1">
      <alignment horizontal="center"/>
      <protection locked="0"/>
    </xf>
    <xf numFmtId="2" fontId="0" fillId="0" borderId="18" xfId="0" applyNumberFormat="1" applyFont="1" applyFill="1" applyBorder="1" applyAlignment="1" applyProtection="1">
      <alignment horizontal="center"/>
      <protection locked="0"/>
    </xf>
    <xf numFmtId="0" fontId="14" fillId="0" borderId="39" xfId="0" applyFont="1" applyFill="1" applyBorder="1" applyAlignment="1">
      <alignment horizontal="center" vertical="center"/>
    </xf>
    <xf numFmtId="164" fontId="0" fillId="7" borderId="13" xfId="0" applyNumberFormat="1" applyFill="1" applyBorder="1" applyAlignment="1">
      <alignment horizontal="center"/>
    </xf>
    <xf numFmtId="164" fontId="1" fillId="7" borderId="15" xfId="0" applyNumberFormat="1" applyFont="1" applyFill="1" applyBorder="1" applyAlignment="1">
      <alignment horizontal="center"/>
    </xf>
    <xf numFmtId="0" fontId="0" fillId="0" borderId="0" xfId="0" applyFill="1" applyBorder="1" applyAlignment="1">
      <alignment horizontal="left"/>
    </xf>
    <xf numFmtId="0" fontId="1" fillId="5" borderId="0" xfId="0" applyFont="1" applyFill="1" applyAlignment="1" applyProtection="1">
      <alignment horizontal="center"/>
      <protection locked="0"/>
    </xf>
    <xf numFmtId="0" fontId="0" fillId="3" borderId="4" xfId="0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 vertical="center" wrapText="1"/>
    </xf>
    <xf numFmtId="0" fontId="4" fillId="3" borderId="23" xfId="0" applyFont="1" applyFill="1" applyBorder="1" applyAlignment="1">
      <alignment horizontal="center"/>
    </xf>
    <xf numFmtId="0" fontId="3" fillId="3" borderId="24" xfId="0" applyFont="1" applyFill="1" applyBorder="1" applyAlignment="1">
      <alignment horizontal="center" vertical="center" wrapText="1"/>
    </xf>
    <xf numFmtId="0" fontId="3" fillId="9" borderId="44" xfId="0" applyFont="1" applyFill="1" applyBorder="1" applyAlignment="1">
      <alignment horizontal="center" vertical="center"/>
    </xf>
    <xf numFmtId="0" fontId="3" fillId="9" borderId="45" xfId="0" applyFont="1" applyFill="1" applyBorder="1" applyAlignment="1">
      <alignment horizontal="center" vertical="center"/>
    </xf>
    <xf numFmtId="0" fontId="17" fillId="0" borderId="46" xfId="0" applyFont="1" applyFill="1" applyBorder="1" applyAlignment="1">
      <alignment horizontal="center"/>
    </xf>
    <xf numFmtId="0" fontId="17" fillId="0" borderId="47" xfId="0" applyFont="1" applyFill="1" applyBorder="1" applyAlignment="1">
      <alignment horizontal="center"/>
    </xf>
    <xf numFmtId="164" fontId="18" fillId="9" borderId="48" xfId="0" applyNumberFormat="1" applyFont="1" applyFill="1" applyBorder="1" applyAlignment="1" applyProtection="1">
      <alignment horizontal="center"/>
    </xf>
    <xf numFmtId="0" fontId="3" fillId="9" borderId="49" xfId="0" applyFont="1" applyFill="1" applyBorder="1" applyAlignment="1" applyProtection="1">
      <alignment horizontal="center" vertical="center"/>
      <protection locked="0"/>
    </xf>
    <xf numFmtId="0" fontId="3" fillId="9" borderId="50" xfId="0" applyFont="1" applyFill="1" applyBorder="1" applyAlignment="1" applyProtection="1">
      <alignment horizontal="center" vertical="center"/>
      <protection locked="0"/>
    </xf>
    <xf numFmtId="0" fontId="17" fillId="0" borderId="51" xfId="0" applyFont="1" applyFill="1" applyBorder="1" applyAlignment="1">
      <alignment horizontal="center"/>
    </xf>
    <xf numFmtId="0" fontId="17" fillId="0" borderId="52" xfId="0" applyFont="1" applyFill="1" applyBorder="1" applyAlignment="1">
      <alignment horizontal="center"/>
    </xf>
    <xf numFmtId="164" fontId="18" fillId="9" borderId="53" xfId="0" applyNumberFormat="1" applyFont="1" applyFill="1" applyBorder="1" applyAlignment="1" applyProtection="1">
      <alignment horizontal="center"/>
    </xf>
    <xf numFmtId="0" fontId="3" fillId="9" borderId="54" xfId="0" applyFont="1" applyFill="1" applyBorder="1" applyAlignment="1">
      <alignment horizontal="center" vertical="center"/>
    </xf>
    <xf numFmtId="0" fontId="3" fillId="9" borderId="55" xfId="0" applyFont="1" applyFill="1" applyBorder="1" applyAlignment="1">
      <alignment horizontal="center" vertical="center"/>
    </xf>
    <xf numFmtId="0" fontId="17" fillId="0" borderId="56" xfId="0" applyFont="1" applyFill="1" applyBorder="1" applyAlignment="1">
      <alignment horizontal="center" vertical="center"/>
    </xf>
    <xf numFmtId="0" fontId="17" fillId="0" borderId="57" xfId="0" applyFont="1" applyFill="1" applyBorder="1" applyAlignment="1">
      <alignment horizontal="center" vertical="center"/>
    </xf>
    <xf numFmtId="164" fontId="18" fillId="9" borderId="58" xfId="0" applyNumberFormat="1" applyFont="1" applyFill="1" applyBorder="1" applyAlignment="1" applyProtection="1">
      <alignment horizontal="center"/>
    </xf>
    <xf numFmtId="0" fontId="3" fillId="9" borderId="61" xfId="0" applyFont="1" applyFill="1" applyBorder="1" applyAlignment="1">
      <alignment horizontal="center" vertical="center"/>
    </xf>
    <xf numFmtId="0" fontId="3" fillId="9" borderId="62" xfId="0" applyFont="1" applyFill="1" applyBorder="1" applyAlignment="1">
      <alignment horizontal="center" vertical="center" wrapText="1"/>
    </xf>
    <xf numFmtId="0" fontId="17" fillId="0" borderId="63" xfId="0" applyFont="1" applyFill="1" applyBorder="1" applyAlignment="1">
      <alignment horizontal="center"/>
    </xf>
    <xf numFmtId="0" fontId="17" fillId="0" borderId="64" xfId="0" applyFont="1" applyFill="1" applyBorder="1" applyAlignment="1">
      <alignment horizontal="center"/>
    </xf>
    <xf numFmtId="0" fontId="17" fillId="0" borderId="65" xfId="0" applyFont="1" applyFill="1" applyBorder="1" applyAlignment="1">
      <alignment horizontal="center"/>
    </xf>
    <xf numFmtId="0" fontId="17" fillId="0" borderId="66" xfId="0" applyFont="1" applyFill="1" applyBorder="1" applyAlignment="1">
      <alignment horizontal="center"/>
    </xf>
    <xf numFmtId="164" fontId="18" fillId="9" borderId="67" xfId="0" applyNumberFormat="1" applyFont="1" applyFill="1" applyBorder="1" applyAlignment="1" applyProtection="1">
      <alignment horizontal="center"/>
    </xf>
    <xf numFmtId="164" fontId="18" fillId="9" borderId="68" xfId="0" applyNumberFormat="1" applyFont="1" applyFill="1" applyBorder="1" applyAlignment="1" applyProtection="1">
      <alignment horizontal="center"/>
    </xf>
    <xf numFmtId="0" fontId="3" fillId="9" borderId="61" xfId="0" applyFont="1" applyFill="1" applyBorder="1" applyAlignment="1" applyProtection="1">
      <alignment horizontal="center" vertical="center"/>
      <protection locked="0"/>
    </xf>
    <xf numFmtId="0" fontId="3" fillId="9" borderId="62" xfId="0" applyFont="1" applyFill="1" applyBorder="1" applyAlignment="1">
      <alignment horizontal="center" vertical="center"/>
    </xf>
    <xf numFmtId="0" fontId="17" fillId="0" borderId="64" xfId="0" applyFont="1" applyFill="1" applyBorder="1" applyAlignment="1">
      <alignment horizontal="center" vertical="center"/>
    </xf>
    <xf numFmtId="0" fontId="17" fillId="0" borderId="66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13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0" fontId="20" fillId="0" borderId="0" xfId="0" applyFont="1" applyAlignment="1">
      <alignment vertical="center" wrapText="1"/>
    </xf>
    <xf numFmtId="0" fontId="21" fillId="3" borderId="0" xfId="0" applyFont="1" applyFill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/>
    <xf numFmtId="0" fontId="0" fillId="0" borderId="0" xfId="0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3" fillId="0" borderId="0" xfId="0" applyFont="1" applyAlignment="1">
      <alignment vertical="center" wrapText="1"/>
    </xf>
    <xf numFmtId="0" fontId="0" fillId="0" borderId="0" xfId="0"/>
    <xf numFmtId="0" fontId="0" fillId="0" borderId="1" xfId="0" applyBorder="1" applyAlignment="1" applyProtection="1">
      <alignment horizontal="center"/>
    </xf>
    <xf numFmtId="2" fontId="0" fillId="0" borderId="1" xfId="0" applyNumberFormat="1" applyBorder="1" applyAlignment="1" applyProtection="1">
      <alignment horizontal="center"/>
    </xf>
    <xf numFmtId="1" fontId="0" fillId="0" borderId="1" xfId="0" applyNumberFormat="1" applyBorder="1" applyAlignment="1" applyProtection="1">
      <alignment horizontal="center"/>
    </xf>
    <xf numFmtId="164" fontId="0" fillId="14" borderId="13" xfId="0" applyNumberFormat="1" applyFill="1" applyBorder="1" applyAlignment="1">
      <alignment horizontal="center"/>
    </xf>
    <xf numFmtId="164" fontId="1" fillId="14" borderId="15" xfId="0" applyNumberFormat="1" applyFont="1" applyFill="1" applyBorder="1" applyAlignment="1">
      <alignment horizontal="center"/>
    </xf>
    <xf numFmtId="164" fontId="0" fillId="11" borderId="13" xfId="0" applyNumberFormat="1" applyFill="1" applyBorder="1" applyAlignment="1">
      <alignment horizontal="center"/>
    </xf>
    <xf numFmtId="164" fontId="1" fillId="11" borderId="15" xfId="0" applyNumberFormat="1" applyFont="1" applyFill="1" applyBorder="1" applyAlignment="1">
      <alignment horizontal="center"/>
    </xf>
    <xf numFmtId="0" fontId="13" fillId="10" borderId="37" xfId="0" applyFont="1" applyFill="1" applyBorder="1" applyAlignment="1">
      <alignment horizontal="center" vertical="center" wrapText="1"/>
    </xf>
    <xf numFmtId="0" fontId="13" fillId="10" borderId="38" xfId="0" applyFont="1" applyFill="1" applyBorder="1" applyAlignment="1">
      <alignment horizontal="center" vertical="center" wrapText="1"/>
    </xf>
    <xf numFmtId="0" fontId="7" fillId="6" borderId="16" xfId="0" applyFont="1" applyFill="1" applyBorder="1" applyAlignment="1">
      <alignment horizontal="left"/>
    </xf>
    <xf numFmtId="0" fontId="7" fillId="6" borderId="17" xfId="0" applyFont="1" applyFill="1" applyBorder="1" applyAlignment="1">
      <alignment horizontal="left"/>
    </xf>
    <xf numFmtId="0" fontId="7" fillId="6" borderId="13" xfId="0" applyFont="1" applyFill="1" applyBorder="1" applyAlignment="1">
      <alignment horizontal="left"/>
    </xf>
    <xf numFmtId="0" fontId="7" fillId="6" borderId="14" xfId="0" applyFont="1" applyFill="1" applyBorder="1" applyAlignment="1">
      <alignment horizontal="left"/>
    </xf>
    <xf numFmtId="0" fontId="7" fillId="6" borderId="21" xfId="0" applyFont="1" applyFill="1" applyBorder="1" applyAlignment="1">
      <alignment horizontal="center" vertical="center" wrapText="1"/>
    </xf>
    <xf numFmtId="0" fontId="7" fillId="6" borderId="22" xfId="0" applyFont="1" applyFill="1" applyBorder="1" applyAlignment="1">
      <alignment horizontal="center" vertical="center" wrapText="1"/>
    </xf>
    <xf numFmtId="0" fontId="3" fillId="9" borderId="59" xfId="0" applyFont="1" applyFill="1" applyBorder="1" applyAlignment="1">
      <alignment horizontal="center" vertical="center" wrapText="1"/>
    </xf>
    <xf numFmtId="0" fontId="3" fillId="9" borderId="60" xfId="0" applyFont="1" applyFill="1" applyBorder="1" applyAlignment="1">
      <alignment horizontal="center" vertical="center" wrapText="1"/>
    </xf>
    <xf numFmtId="0" fontId="3" fillId="9" borderId="59" xfId="0" applyFont="1" applyFill="1" applyBorder="1" applyAlignment="1">
      <alignment horizontal="center" vertical="center"/>
    </xf>
    <xf numFmtId="0" fontId="3" fillId="9" borderId="60" xfId="0" applyFont="1" applyFill="1" applyBorder="1" applyAlignment="1">
      <alignment horizontal="center" vertical="center"/>
    </xf>
    <xf numFmtId="0" fontId="12" fillId="8" borderId="31" xfId="0" applyFont="1" applyFill="1" applyBorder="1" applyAlignment="1">
      <alignment horizontal="center" vertical="center"/>
    </xf>
    <xf numFmtId="0" fontId="12" fillId="8" borderId="32" xfId="0" applyFont="1" applyFill="1" applyBorder="1" applyAlignment="1">
      <alignment horizontal="center" vertical="center"/>
    </xf>
    <xf numFmtId="0" fontId="12" fillId="8" borderId="33" xfId="0" applyFont="1" applyFill="1" applyBorder="1" applyAlignment="1">
      <alignment horizontal="center" vertical="center"/>
    </xf>
    <xf numFmtId="0" fontId="12" fillId="8" borderId="34" xfId="0" applyFont="1" applyFill="1" applyBorder="1" applyAlignment="1">
      <alignment horizontal="center" vertical="center"/>
    </xf>
    <xf numFmtId="0" fontId="12" fillId="8" borderId="35" xfId="0" applyFont="1" applyFill="1" applyBorder="1" applyAlignment="1">
      <alignment horizontal="center" vertical="center"/>
    </xf>
    <xf numFmtId="0" fontId="12" fillId="8" borderId="36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center"/>
    </xf>
    <xf numFmtId="0" fontId="10" fillId="3" borderId="20" xfId="0" applyFont="1" applyFill="1" applyBorder="1" applyAlignment="1">
      <alignment horizontal="center"/>
    </xf>
    <xf numFmtId="0" fontId="9" fillId="3" borderId="19" xfId="0" applyFont="1" applyFill="1" applyBorder="1" applyAlignment="1">
      <alignment horizontal="center"/>
    </xf>
    <xf numFmtId="0" fontId="9" fillId="3" borderId="20" xfId="0" applyFont="1" applyFill="1" applyBorder="1" applyAlignment="1">
      <alignment horizontal="center"/>
    </xf>
    <xf numFmtId="0" fontId="1" fillId="3" borderId="19" xfId="0" applyFont="1" applyFill="1" applyBorder="1" applyAlignment="1">
      <alignment horizontal="center"/>
    </xf>
    <xf numFmtId="0" fontId="1" fillId="3" borderId="20" xfId="0" applyFont="1" applyFill="1" applyBorder="1" applyAlignment="1">
      <alignment horizontal="center"/>
    </xf>
    <xf numFmtId="0" fontId="1" fillId="0" borderId="8" xfId="0" applyFont="1" applyFill="1" applyBorder="1" applyAlignment="1" applyProtection="1">
      <alignment horizontal="center"/>
      <protection locked="0"/>
    </xf>
    <xf numFmtId="0" fontId="1" fillId="0" borderId="9" xfId="0" applyFont="1" applyFill="1" applyBorder="1" applyAlignment="1" applyProtection="1">
      <alignment horizontal="center"/>
      <protection locked="0"/>
    </xf>
    <xf numFmtId="0" fontId="7" fillId="6" borderId="26" xfId="0" applyFont="1" applyFill="1" applyBorder="1" applyAlignment="1">
      <alignment horizontal="left"/>
    </xf>
    <xf numFmtId="0" fontId="7" fillId="6" borderId="25" xfId="0" applyFont="1" applyFill="1" applyBorder="1" applyAlignment="1">
      <alignment horizontal="left"/>
    </xf>
    <xf numFmtId="0" fontId="1" fillId="3" borderId="0" xfId="0" applyFont="1" applyFill="1" applyAlignment="1">
      <alignment horizontal="center" vertical="center"/>
    </xf>
  </cellXfs>
  <cellStyles count="1">
    <cellStyle name="Normal" xfId="0" builtinId="0"/>
  </cellStyles>
  <dxfs count="72">
    <dxf>
      <fill>
        <patternFill>
          <bgColor rgb="FFFF7C80"/>
        </patternFill>
      </fill>
    </dxf>
    <dxf>
      <fill>
        <patternFill>
          <bgColor rgb="FFFBF497"/>
        </patternFill>
      </fill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ont>
        <color theme="0" tint="-0.14996795556505021"/>
      </font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ont>
        <color theme="0" tint="-0.14996795556505021"/>
      </font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ont>
        <color theme="0" tint="-0.14996795556505021"/>
      </font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ont>
        <color theme="0" tint="-0.14996795556505021"/>
      </font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ont>
        <color theme="0" tint="-0.14996795556505021"/>
      </font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ont>
        <color theme="0" tint="-0.14996795556505021"/>
      </font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ont>
        <color theme="0" tint="-0.14996795556505021"/>
      </font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ill>
        <patternFill>
          <bgColor rgb="FFFF7C80"/>
        </patternFill>
      </fill>
    </dxf>
    <dxf>
      <fill>
        <patternFill>
          <bgColor rgb="FFFBF497"/>
        </patternFill>
      </fill>
    </dxf>
    <dxf>
      <font>
        <color theme="0" tint="-0.14996795556505021"/>
      </font>
    </dxf>
    <dxf>
      <fill>
        <patternFill>
          <bgColor rgb="FFFF7C80"/>
        </patternFill>
      </fill>
    </dxf>
    <dxf>
      <fill>
        <patternFill>
          <bgColor rgb="FFFBF497"/>
        </patternFill>
      </fill>
    </dxf>
  </dxfs>
  <tableStyles count="0" defaultTableStyle="TableStyleMedium2" defaultPivotStyle="PivotStyleLight16"/>
  <colors>
    <mruColors>
      <color rgb="FFFFCC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Points and Marks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Testing!$C$10:$C$60</c:f>
              <c:numCache>
                <c:formatCode>0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Testing!$E$10:$E$60</c:f>
              <c:numCache>
                <c:formatCode>0.0</c:formatCode>
                <c:ptCount val="51"/>
                <c:pt idx="0">
                  <c:v>0</c:v>
                </c:pt>
                <c:pt idx="1">
                  <c:v>0.14285714285714285</c:v>
                </c:pt>
                <c:pt idx="2">
                  <c:v>0.2857142857142857</c:v>
                </c:pt>
                <c:pt idx="3">
                  <c:v>0.42857142857142855</c:v>
                </c:pt>
                <c:pt idx="4">
                  <c:v>0.5714285714285714</c:v>
                </c:pt>
                <c:pt idx="5">
                  <c:v>0.7142857142857143</c:v>
                </c:pt>
                <c:pt idx="6">
                  <c:v>0.8571428571428571</c:v>
                </c:pt>
                <c:pt idx="7">
                  <c:v>1</c:v>
                </c:pt>
                <c:pt idx="8">
                  <c:v>1.1428571428571428</c:v>
                </c:pt>
                <c:pt idx="9">
                  <c:v>1.2857142857142858</c:v>
                </c:pt>
                <c:pt idx="10">
                  <c:v>1.4285714285714286</c:v>
                </c:pt>
                <c:pt idx="11">
                  <c:v>1.5714285714285714</c:v>
                </c:pt>
                <c:pt idx="12">
                  <c:v>1.7142857142857142</c:v>
                </c:pt>
                <c:pt idx="13">
                  <c:v>1.8571428571428572</c:v>
                </c:pt>
                <c:pt idx="14">
                  <c:v>2</c:v>
                </c:pt>
                <c:pt idx="15">
                  <c:v>2.1428571428571428</c:v>
                </c:pt>
                <c:pt idx="16">
                  <c:v>2.2857142857142856</c:v>
                </c:pt>
                <c:pt idx="17">
                  <c:v>2.4285714285714284</c:v>
                </c:pt>
                <c:pt idx="18">
                  <c:v>2.5714285714285716</c:v>
                </c:pt>
                <c:pt idx="19">
                  <c:v>2.7142857142857144</c:v>
                </c:pt>
                <c:pt idx="20">
                  <c:v>2.8571428571428572</c:v>
                </c:pt>
                <c:pt idx="21">
                  <c:v>3</c:v>
                </c:pt>
                <c:pt idx="22">
                  <c:v>3.1428571428571428</c:v>
                </c:pt>
                <c:pt idx="23">
                  <c:v>3.2857142857142856</c:v>
                </c:pt>
                <c:pt idx="24">
                  <c:v>3.4285714285714284</c:v>
                </c:pt>
                <c:pt idx="25">
                  <c:v>3.5714285714285716</c:v>
                </c:pt>
                <c:pt idx="26">
                  <c:v>3.7142857142857144</c:v>
                </c:pt>
                <c:pt idx="27">
                  <c:v>3.8571428571428572</c:v>
                </c:pt>
                <c:pt idx="28">
                  <c:v>4</c:v>
                </c:pt>
                <c:pt idx="29">
                  <c:v>4.1428571428571432</c:v>
                </c:pt>
                <c:pt idx="30">
                  <c:v>4.2857142857142856</c:v>
                </c:pt>
                <c:pt idx="31">
                  <c:v>4.4285714285714288</c:v>
                </c:pt>
                <c:pt idx="32">
                  <c:v>4.5714285714285712</c:v>
                </c:pt>
                <c:pt idx="33">
                  <c:v>4.7142857142857144</c:v>
                </c:pt>
                <c:pt idx="34">
                  <c:v>4.8571428571428568</c:v>
                </c:pt>
                <c:pt idx="35">
                  <c:v>5</c:v>
                </c:pt>
                <c:pt idx="36">
                  <c:v>5.333333333333333</c:v>
                </c:pt>
                <c:pt idx="37">
                  <c:v>5.666666666666667</c:v>
                </c:pt>
                <c:pt idx="38">
                  <c:v>6</c:v>
                </c:pt>
                <c:pt idx="39">
                  <c:v>6.333333333333333</c:v>
                </c:pt>
                <c:pt idx="40">
                  <c:v>6.666666666666667</c:v>
                </c:pt>
                <c:pt idx="41">
                  <c:v>7</c:v>
                </c:pt>
                <c:pt idx="42">
                  <c:v>7.333333333333333</c:v>
                </c:pt>
                <c:pt idx="43">
                  <c:v>7.666666666666667</c:v>
                </c:pt>
                <c:pt idx="44">
                  <c:v>8</c:v>
                </c:pt>
                <c:pt idx="45">
                  <c:v>8.3333333333333339</c:v>
                </c:pt>
                <c:pt idx="46">
                  <c:v>8.6666666666666661</c:v>
                </c:pt>
                <c:pt idx="47">
                  <c:v>9</c:v>
                </c:pt>
                <c:pt idx="48">
                  <c:v>9.3333333333333339</c:v>
                </c:pt>
                <c:pt idx="49">
                  <c:v>9.6666666666666661</c:v>
                </c:pt>
                <c:pt idx="50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DE-4620-86ED-35CA9BE66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9557472"/>
        <c:axId val="949549568"/>
      </c:scatterChart>
      <c:valAx>
        <c:axId val="949557472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Points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9549568"/>
        <c:crosses val="autoZero"/>
        <c:crossBetween val="midCat"/>
      </c:valAx>
      <c:valAx>
        <c:axId val="94954956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Mark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9557472"/>
        <c:crosses val="autoZero"/>
        <c:crossBetween val="midCat"/>
        <c:majorUnit val="1"/>
      </c:valAx>
      <c:spPr>
        <a:noFill/>
        <a:ln w="5715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1</xdr:col>
          <xdr:colOff>628650</xdr:colOff>
          <xdr:row>1</xdr:row>
          <xdr:rowOff>66675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Lisää oppilas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638175</xdr:colOff>
          <xdr:row>0</xdr:row>
          <xdr:rowOff>28575</xdr:rowOff>
        </xdr:from>
        <xdr:to>
          <xdr:col>1</xdr:col>
          <xdr:colOff>1647825</xdr:colOff>
          <xdr:row>1</xdr:row>
          <xdr:rowOff>66675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Poista vika rivi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638175</xdr:colOff>
          <xdr:row>1</xdr:row>
          <xdr:rowOff>85725</xdr:rowOff>
        </xdr:from>
        <xdr:to>
          <xdr:col>1</xdr:col>
          <xdr:colOff>1647825</xdr:colOff>
          <xdr:row>2</xdr:row>
          <xdr:rowOff>123825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Poista tyhjä koe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</xdr:row>
          <xdr:rowOff>85725</xdr:rowOff>
        </xdr:from>
        <xdr:to>
          <xdr:col>1</xdr:col>
          <xdr:colOff>628650</xdr:colOff>
          <xdr:row>2</xdr:row>
          <xdr:rowOff>123825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Lisää koe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</xdr:row>
          <xdr:rowOff>142875</xdr:rowOff>
        </xdr:from>
        <xdr:to>
          <xdr:col>1</xdr:col>
          <xdr:colOff>628650</xdr:colOff>
          <xdr:row>3</xdr:row>
          <xdr:rowOff>180975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Piilota kokeet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638175</xdr:colOff>
          <xdr:row>2</xdr:row>
          <xdr:rowOff>142875</xdr:rowOff>
        </xdr:from>
        <xdr:to>
          <xdr:col>1</xdr:col>
          <xdr:colOff>1647825</xdr:colOff>
          <xdr:row>3</xdr:row>
          <xdr:rowOff>180975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Näytä kokeet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</xdr:row>
          <xdr:rowOff>200025</xdr:rowOff>
        </xdr:from>
        <xdr:to>
          <xdr:col>1</xdr:col>
          <xdr:colOff>628650</xdr:colOff>
          <xdr:row>5</xdr:row>
          <xdr:rowOff>171450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Piilota keskiarvot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638175</xdr:colOff>
          <xdr:row>3</xdr:row>
          <xdr:rowOff>200025</xdr:rowOff>
        </xdr:from>
        <xdr:to>
          <xdr:col>1</xdr:col>
          <xdr:colOff>1647825</xdr:colOff>
          <xdr:row>5</xdr:row>
          <xdr:rowOff>171450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Näytä keskiarvot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1</xdr:col>
          <xdr:colOff>628650</xdr:colOff>
          <xdr:row>1</xdr:row>
          <xdr:rowOff>66675</xdr:rowOff>
        </xdr:to>
        <xdr:sp macro="" textlink="">
          <xdr:nvSpPr>
            <xdr:cNvPr id="67585" name="Button 1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01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Lisää oppilas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638175</xdr:colOff>
          <xdr:row>0</xdr:row>
          <xdr:rowOff>28575</xdr:rowOff>
        </xdr:from>
        <xdr:to>
          <xdr:col>1</xdr:col>
          <xdr:colOff>1647825</xdr:colOff>
          <xdr:row>1</xdr:row>
          <xdr:rowOff>66675</xdr:rowOff>
        </xdr:to>
        <xdr:sp macro="" textlink="">
          <xdr:nvSpPr>
            <xdr:cNvPr id="67586" name="Button 2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00000000-0008-0000-01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Poista vika rivi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638175</xdr:colOff>
          <xdr:row>1</xdr:row>
          <xdr:rowOff>85725</xdr:rowOff>
        </xdr:from>
        <xdr:to>
          <xdr:col>1</xdr:col>
          <xdr:colOff>1647825</xdr:colOff>
          <xdr:row>2</xdr:row>
          <xdr:rowOff>123825</xdr:rowOff>
        </xdr:to>
        <xdr:sp macro="" textlink="">
          <xdr:nvSpPr>
            <xdr:cNvPr id="67587" name="Button 3" hidden="1">
              <a:extLst>
                <a:ext uri="{63B3BB69-23CF-44E3-9099-C40C66FF867C}">
                  <a14:compatExt spid="_x0000_s67587"/>
                </a:ext>
                <a:ext uri="{FF2B5EF4-FFF2-40B4-BE49-F238E27FC236}">
                  <a16:creationId xmlns:a16="http://schemas.microsoft.com/office/drawing/2014/main" id="{00000000-0008-0000-0100-000003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Poista tyhjä koe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</xdr:row>
          <xdr:rowOff>85725</xdr:rowOff>
        </xdr:from>
        <xdr:to>
          <xdr:col>1</xdr:col>
          <xdr:colOff>628650</xdr:colOff>
          <xdr:row>2</xdr:row>
          <xdr:rowOff>123825</xdr:rowOff>
        </xdr:to>
        <xdr:sp macro="" textlink="">
          <xdr:nvSpPr>
            <xdr:cNvPr id="67588" name="Button 4" hidden="1">
              <a:extLst>
                <a:ext uri="{63B3BB69-23CF-44E3-9099-C40C66FF867C}">
                  <a14:compatExt spid="_x0000_s67588"/>
                </a:ext>
                <a:ext uri="{FF2B5EF4-FFF2-40B4-BE49-F238E27FC236}">
                  <a16:creationId xmlns:a16="http://schemas.microsoft.com/office/drawing/2014/main" id="{00000000-0008-0000-0100-000004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Lisää koe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</xdr:row>
          <xdr:rowOff>142875</xdr:rowOff>
        </xdr:from>
        <xdr:to>
          <xdr:col>1</xdr:col>
          <xdr:colOff>628650</xdr:colOff>
          <xdr:row>3</xdr:row>
          <xdr:rowOff>180975</xdr:rowOff>
        </xdr:to>
        <xdr:sp macro="" textlink="">
          <xdr:nvSpPr>
            <xdr:cNvPr id="67589" name="Button 5" hidden="1">
              <a:extLst>
                <a:ext uri="{63B3BB69-23CF-44E3-9099-C40C66FF867C}">
                  <a14:compatExt spid="_x0000_s67589"/>
                </a:ext>
                <a:ext uri="{FF2B5EF4-FFF2-40B4-BE49-F238E27FC236}">
                  <a16:creationId xmlns:a16="http://schemas.microsoft.com/office/drawing/2014/main" id="{00000000-0008-0000-0100-000005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Piilota kokeet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638175</xdr:colOff>
          <xdr:row>2</xdr:row>
          <xdr:rowOff>142875</xdr:rowOff>
        </xdr:from>
        <xdr:to>
          <xdr:col>1</xdr:col>
          <xdr:colOff>1647825</xdr:colOff>
          <xdr:row>3</xdr:row>
          <xdr:rowOff>180975</xdr:rowOff>
        </xdr:to>
        <xdr:sp macro="" textlink="">
          <xdr:nvSpPr>
            <xdr:cNvPr id="67590" name="Button 6" hidden="1">
              <a:extLst>
                <a:ext uri="{63B3BB69-23CF-44E3-9099-C40C66FF867C}">
                  <a14:compatExt spid="_x0000_s67590"/>
                </a:ext>
                <a:ext uri="{FF2B5EF4-FFF2-40B4-BE49-F238E27FC236}">
                  <a16:creationId xmlns:a16="http://schemas.microsoft.com/office/drawing/2014/main" id="{00000000-0008-0000-0100-000006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Näytä kokeet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</xdr:row>
          <xdr:rowOff>200025</xdr:rowOff>
        </xdr:from>
        <xdr:to>
          <xdr:col>1</xdr:col>
          <xdr:colOff>628650</xdr:colOff>
          <xdr:row>5</xdr:row>
          <xdr:rowOff>171450</xdr:rowOff>
        </xdr:to>
        <xdr:sp macro="" textlink="">
          <xdr:nvSpPr>
            <xdr:cNvPr id="67591" name="Button 7" hidden="1">
              <a:extLst>
                <a:ext uri="{63B3BB69-23CF-44E3-9099-C40C66FF867C}">
                  <a14:compatExt spid="_x0000_s67591"/>
                </a:ext>
                <a:ext uri="{FF2B5EF4-FFF2-40B4-BE49-F238E27FC236}">
                  <a16:creationId xmlns:a16="http://schemas.microsoft.com/office/drawing/2014/main" id="{00000000-0008-0000-0100-000007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Piilota keskiarvot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638175</xdr:colOff>
          <xdr:row>3</xdr:row>
          <xdr:rowOff>200025</xdr:rowOff>
        </xdr:from>
        <xdr:to>
          <xdr:col>1</xdr:col>
          <xdr:colOff>1647825</xdr:colOff>
          <xdr:row>5</xdr:row>
          <xdr:rowOff>171450</xdr:rowOff>
        </xdr:to>
        <xdr:sp macro="" textlink="">
          <xdr:nvSpPr>
            <xdr:cNvPr id="67592" name="Button 8" hidden="1">
              <a:extLst>
                <a:ext uri="{63B3BB69-23CF-44E3-9099-C40C66FF867C}">
                  <a14:compatExt spid="_x0000_s67592"/>
                </a:ext>
                <a:ext uri="{FF2B5EF4-FFF2-40B4-BE49-F238E27FC236}">
                  <a16:creationId xmlns:a16="http://schemas.microsoft.com/office/drawing/2014/main" id="{00000000-0008-0000-0100-000008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Näytä keskiarvot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176212</xdr:colOff>
      <xdr:row>0</xdr:row>
      <xdr:rowOff>85725</xdr:rowOff>
    </xdr:from>
    <xdr:to>
      <xdr:col>14</xdr:col>
      <xdr:colOff>481012</xdr:colOff>
      <xdr:row>12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12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ul3"/>
  <dimension ref="A1:AQ40"/>
  <sheetViews>
    <sheetView tabSelected="1" zoomScaleNormal="100" workbookViewId="0">
      <pane xSplit="2" topLeftCell="C1" activePane="topRight" state="frozen"/>
      <selection pane="topRight" activeCell="Q2" sqref="Q2:T3"/>
    </sheetView>
  </sheetViews>
  <sheetFormatPr defaultColWidth="9.140625" defaultRowHeight="15" x14ac:dyDescent="0.25"/>
  <cols>
    <col min="1" max="1" width="6.140625" customWidth="1"/>
    <col min="2" max="2" width="25.140625" customWidth="1"/>
    <col min="3" max="3" width="6.28515625" customWidth="1"/>
    <col min="4" max="4" width="5.85546875" customWidth="1"/>
    <col min="5" max="5" width="6.7109375" customWidth="1"/>
    <col min="6" max="6" width="6.28515625" style="95" customWidth="1"/>
    <col min="7" max="7" width="5.85546875" style="95" customWidth="1"/>
    <col min="8" max="8" width="6.7109375" style="95" customWidth="1"/>
    <col min="9" max="9" width="6.28515625" style="95" customWidth="1"/>
    <col min="10" max="10" width="5.85546875" style="95" customWidth="1"/>
    <col min="11" max="11" width="6.7109375" style="95" customWidth="1"/>
    <col min="12" max="12" width="6.28515625" style="95" customWidth="1"/>
    <col min="13" max="13" width="5.85546875" style="95" customWidth="1"/>
    <col min="14" max="14" width="6.7109375" style="95" customWidth="1"/>
    <col min="15" max="15" width="1.140625" customWidth="1"/>
    <col min="16" max="16" width="10.7109375" customWidth="1"/>
    <col min="17" max="30" width="5.7109375" customWidth="1"/>
    <col min="31" max="31" width="0.85546875" customWidth="1"/>
    <col min="32" max="32" width="10.7109375" customWidth="1"/>
    <col min="33" max="33" width="7.85546875" customWidth="1"/>
    <col min="34" max="35" width="6.42578125" customWidth="1"/>
    <col min="36" max="36" width="7.85546875" customWidth="1"/>
    <col min="37" max="38" width="6.140625" customWidth="1"/>
    <col min="39" max="39" width="7.85546875" customWidth="1"/>
    <col min="40" max="40" width="2.42578125" customWidth="1"/>
    <col min="41" max="42" width="7.85546875" customWidth="1"/>
  </cols>
  <sheetData>
    <row r="1" spans="1:43" ht="18" customHeight="1" thickBot="1" x14ac:dyDescent="0.3">
      <c r="A1" s="2"/>
      <c r="B1" s="13"/>
      <c r="C1" s="127" t="s">
        <v>23</v>
      </c>
      <c r="D1" s="128"/>
      <c r="E1" s="6">
        <v>1</v>
      </c>
      <c r="F1" s="127" t="s">
        <v>23</v>
      </c>
      <c r="G1" s="128"/>
      <c r="H1" s="6">
        <v>2</v>
      </c>
      <c r="I1" s="127" t="s">
        <v>23</v>
      </c>
      <c r="J1" s="128"/>
      <c r="K1" s="6">
        <v>3</v>
      </c>
      <c r="L1" s="127" t="s">
        <v>23</v>
      </c>
      <c r="M1" s="128"/>
      <c r="N1" s="6">
        <v>4</v>
      </c>
      <c r="O1" s="15"/>
      <c r="P1" s="15"/>
      <c r="Q1" s="37">
        <v>1</v>
      </c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</row>
    <row r="2" spans="1:43" ht="18" customHeight="1" thickTop="1" x14ac:dyDescent="0.25">
      <c r="A2" s="2"/>
      <c r="B2" s="13"/>
      <c r="C2" s="7" t="s">
        <v>24</v>
      </c>
      <c r="D2" s="8"/>
      <c r="E2" s="40" t="s">
        <v>25</v>
      </c>
      <c r="F2" s="7" t="s">
        <v>24</v>
      </c>
      <c r="G2" s="8"/>
      <c r="H2" s="40" t="s">
        <v>25</v>
      </c>
      <c r="I2" s="7" t="s">
        <v>24</v>
      </c>
      <c r="J2" s="8"/>
      <c r="K2" s="40" t="s">
        <v>36</v>
      </c>
      <c r="L2" s="7" t="s">
        <v>24</v>
      </c>
      <c r="M2" s="8"/>
      <c r="N2" s="40" t="s">
        <v>118</v>
      </c>
      <c r="O2" s="15"/>
      <c r="P2" s="15"/>
      <c r="Q2" s="115" t="s">
        <v>26</v>
      </c>
      <c r="R2" s="116"/>
      <c r="S2" s="116"/>
      <c r="T2" s="117"/>
      <c r="U2" s="15"/>
      <c r="V2" s="115" t="s">
        <v>27</v>
      </c>
      <c r="W2" s="116"/>
      <c r="X2" s="116"/>
      <c r="Y2" s="117"/>
      <c r="Z2" s="15"/>
      <c r="AA2" s="115" t="s">
        <v>28</v>
      </c>
      <c r="AB2" s="116"/>
      <c r="AC2" s="116"/>
      <c r="AD2" s="117"/>
      <c r="AE2" s="23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</row>
    <row r="3" spans="1:43" ht="18" customHeight="1" thickBot="1" x14ac:dyDescent="0.3">
      <c r="A3" s="2"/>
      <c r="B3" s="13"/>
      <c r="C3" s="9" t="s">
        <v>22</v>
      </c>
      <c r="D3" s="10"/>
      <c r="E3" s="41">
        <v>100</v>
      </c>
      <c r="F3" s="9" t="s">
        <v>22</v>
      </c>
      <c r="G3" s="10"/>
      <c r="H3" s="41">
        <v>100</v>
      </c>
      <c r="I3" s="9" t="s">
        <v>22</v>
      </c>
      <c r="J3" s="10"/>
      <c r="K3" s="41">
        <v>100</v>
      </c>
      <c r="L3" s="9" t="s">
        <v>22</v>
      </c>
      <c r="M3" s="10"/>
      <c r="N3" s="41">
        <v>100</v>
      </c>
      <c r="O3" s="15"/>
      <c r="P3" s="15"/>
      <c r="Q3" s="118"/>
      <c r="R3" s="119"/>
      <c r="S3" s="119"/>
      <c r="T3" s="120"/>
      <c r="U3" s="15"/>
      <c r="V3" s="118"/>
      <c r="W3" s="119"/>
      <c r="X3" s="119"/>
      <c r="Y3" s="120"/>
      <c r="Z3" s="15"/>
      <c r="AA3" s="118"/>
      <c r="AB3" s="119"/>
      <c r="AC3" s="119"/>
      <c r="AD3" s="120"/>
      <c r="AE3" s="23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</row>
    <row r="4" spans="1:43" ht="18" customHeight="1" thickTop="1" thickBot="1" x14ac:dyDescent="0.3">
      <c r="A4" s="2"/>
      <c r="B4" s="13"/>
      <c r="C4" s="129" t="s">
        <v>12</v>
      </c>
      <c r="D4" s="130"/>
      <c r="E4" s="42">
        <v>1</v>
      </c>
      <c r="F4" s="129" t="s">
        <v>12</v>
      </c>
      <c r="G4" s="130"/>
      <c r="H4" s="42">
        <v>2</v>
      </c>
      <c r="I4" s="129" t="s">
        <v>12</v>
      </c>
      <c r="J4" s="130"/>
      <c r="K4" s="42">
        <v>3</v>
      </c>
      <c r="L4" s="129" t="s">
        <v>12</v>
      </c>
      <c r="M4" s="130"/>
      <c r="N4" s="42">
        <v>4</v>
      </c>
      <c r="O4" s="15"/>
      <c r="P4" s="15"/>
      <c r="Q4" s="34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</row>
    <row r="5" spans="1:43" ht="18" customHeight="1" x14ac:dyDescent="0.25">
      <c r="A5" s="2"/>
      <c r="B5" s="13"/>
      <c r="C5" s="107" t="s">
        <v>9</v>
      </c>
      <c r="D5" s="108"/>
      <c r="E5" s="43">
        <v>6</v>
      </c>
      <c r="F5" s="107" t="s">
        <v>9</v>
      </c>
      <c r="G5" s="108"/>
      <c r="H5" s="43">
        <v>6</v>
      </c>
      <c r="I5" s="107" t="s">
        <v>9</v>
      </c>
      <c r="J5" s="108"/>
      <c r="K5" s="43">
        <v>6</v>
      </c>
      <c r="L5" s="107" t="s">
        <v>9</v>
      </c>
      <c r="M5" s="108"/>
      <c r="N5" s="43">
        <v>6</v>
      </c>
      <c r="O5" s="15"/>
      <c r="P5" s="15"/>
      <c r="Q5" s="125" t="s">
        <v>14</v>
      </c>
      <c r="R5" s="126"/>
      <c r="S5" s="125" t="s">
        <v>15</v>
      </c>
      <c r="T5" s="126"/>
      <c r="U5" s="125" t="s">
        <v>16</v>
      </c>
      <c r="V5" s="126"/>
      <c r="W5" s="125" t="s">
        <v>17</v>
      </c>
      <c r="X5" s="126"/>
      <c r="Y5" s="123" t="s">
        <v>18</v>
      </c>
      <c r="Z5" s="124"/>
      <c r="AA5" s="123" t="s">
        <v>19</v>
      </c>
      <c r="AB5" s="124"/>
      <c r="AC5" s="121" t="s">
        <v>20</v>
      </c>
      <c r="AD5" s="122"/>
      <c r="AE5" s="24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</row>
    <row r="6" spans="1:43" ht="18" customHeight="1" x14ac:dyDescent="0.25">
      <c r="A6" s="2"/>
      <c r="B6" s="13"/>
      <c r="C6" s="107" t="s">
        <v>10</v>
      </c>
      <c r="D6" s="108"/>
      <c r="E6" s="43">
        <v>10</v>
      </c>
      <c r="F6" s="107" t="s">
        <v>10</v>
      </c>
      <c r="G6" s="108"/>
      <c r="H6" s="43">
        <v>10</v>
      </c>
      <c r="I6" s="107" t="s">
        <v>10</v>
      </c>
      <c r="J6" s="108"/>
      <c r="K6" s="43">
        <v>10</v>
      </c>
      <c r="L6" s="107" t="s">
        <v>10</v>
      </c>
      <c r="M6" s="108"/>
      <c r="N6" s="43">
        <v>10</v>
      </c>
      <c r="O6" s="15"/>
      <c r="P6" s="15"/>
      <c r="Q6" s="109" t="s">
        <v>115</v>
      </c>
      <c r="R6" s="110"/>
      <c r="S6" s="109" t="s">
        <v>115</v>
      </c>
      <c r="T6" s="110"/>
      <c r="U6" s="109" t="s">
        <v>115</v>
      </c>
      <c r="V6" s="110"/>
      <c r="W6" s="109" t="s">
        <v>115</v>
      </c>
      <c r="X6" s="110"/>
      <c r="Y6" s="109" t="s">
        <v>115</v>
      </c>
      <c r="Z6" s="110"/>
      <c r="AA6" s="109" t="s">
        <v>115</v>
      </c>
      <c r="AB6" s="110"/>
      <c r="AC6" s="109" t="s">
        <v>115</v>
      </c>
      <c r="AD6" s="110"/>
      <c r="AE6" s="2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</row>
    <row r="7" spans="1:43" ht="18" customHeight="1" x14ac:dyDescent="0.25">
      <c r="A7" s="5"/>
      <c r="B7" s="4" t="s">
        <v>0</v>
      </c>
      <c r="C7" s="107" t="s">
        <v>8</v>
      </c>
      <c r="D7" s="108"/>
      <c r="E7" s="43">
        <v>20</v>
      </c>
      <c r="F7" s="107" t="s">
        <v>8</v>
      </c>
      <c r="G7" s="108"/>
      <c r="H7" s="43">
        <v>30</v>
      </c>
      <c r="I7" s="107" t="s">
        <v>8</v>
      </c>
      <c r="J7" s="108"/>
      <c r="K7" s="43">
        <v>40</v>
      </c>
      <c r="L7" s="107" t="s">
        <v>8</v>
      </c>
      <c r="M7" s="108"/>
      <c r="N7" s="43">
        <v>20</v>
      </c>
      <c r="O7" s="28"/>
      <c r="P7" s="15"/>
      <c r="Q7" s="109"/>
      <c r="R7" s="110"/>
      <c r="S7" s="109"/>
      <c r="T7" s="110"/>
      <c r="U7" s="109"/>
      <c r="V7" s="110"/>
      <c r="W7" s="109"/>
      <c r="X7" s="110"/>
      <c r="Y7" s="109"/>
      <c r="Z7" s="110"/>
      <c r="AA7" s="109"/>
      <c r="AB7" s="110"/>
      <c r="AC7" s="109"/>
      <c r="AD7" s="110"/>
      <c r="AE7" s="2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</row>
    <row r="8" spans="1:43" ht="18" customHeight="1" thickBot="1" x14ac:dyDescent="0.3">
      <c r="A8" s="5"/>
      <c r="B8" s="49" t="s">
        <v>76</v>
      </c>
      <c r="C8" s="105" t="s">
        <v>7</v>
      </c>
      <c r="D8" s="106"/>
      <c r="E8" s="44">
        <v>70</v>
      </c>
      <c r="F8" s="105" t="s">
        <v>7</v>
      </c>
      <c r="G8" s="106"/>
      <c r="H8" s="44">
        <v>60</v>
      </c>
      <c r="I8" s="105" t="s">
        <v>7</v>
      </c>
      <c r="J8" s="106"/>
      <c r="K8" s="44">
        <v>60</v>
      </c>
      <c r="L8" s="105" t="s">
        <v>7</v>
      </c>
      <c r="M8" s="106"/>
      <c r="N8" s="44">
        <v>100</v>
      </c>
      <c r="O8" s="28"/>
      <c r="P8" s="15"/>
      <c r="Q8" s="109"/>
      <c r="R8" s="110"/>
      <c r="S8" s="109"/>
      <c r="T8" s="110"/>
      <c r="U8" s="109"/>
      <c r="V8" s="110"/>
      <c r="W8" s="109"/>
      <c r="X8" s="110"/>
      <c r="Y8" s="109"/>
      <c r="Z8" s="110"/>
      <c r="AA8" s="109"/>
      <c r="AB8" s="110"/>
      <c r="AC8" s="109"/>
      <c r="AD8" s="110"/>
      <c r="AE8" s="25"/>
      <c r="AF8" s="15"/>
      <c r="AG8" s="57" t="s">
        <v>29</v>
      </c>
      <c r="AH8" s="111" t="s">
        <v>41</v>
      </c>
      <c r="AI8" s="112"/>
      <c r="AJ8" s="62" t="s">
        <v>30</v>
      </c>
      <c r="AK8" s="113" t="s">
        <v>42</v>
      </c>
      <c r="AL8" s="114"/>
      <c r="AM8" s="67" t="s">
        <v>31</v>
      </c>
      <c r="AN8" s="17"/>
      <c r="AO8" s="103" t="s">
        <v>32</v>
      </c>
      <c r="AP8" s="103" t="s">
        <v>33</v>
      </c>
      <c r="AQ8" s="15"/>
    </row>
    <row r="9" spans="1:43" ht="25.5" x14ac:dyDescent="0.3">
      <c r="A9" s="50" t="s">
        <v>1</v>
      </c>
      <c r="B9" s="51" t="s">
        <v>2</v>
      </c>
      <c r="C9" s="52" t="s">
        <v>3</v>
      </c>
      <c r="D9" s="53" t="s">
        <v>4</v>
      </c>
      <c r="E9" s="54" t="s">
        <v>5</v>
      </c>
      <c r="F9" s="52" t="s">
        <v>3</v>
      </c>
      <c r="G9" s="53" t="s">
        <v>4</v>
      </c>
      <c r="H9" s="54" t="s">
        <v>5</v>
      </c>
      <c r="I9" s="52" t="s">
        <v>3</v>
      </c>
      <c r="J9" s="53" t="s">
        <v>4</v>
      </c>
      <c r="K9" s="54" t="s">
        <v>5</v>
      </c>
      <c r="L9" s="52" t="s">
        <v>3</v>
      </c>
      <c r="M9" s="53" t="s">
        <v>4</v>
      </c>
      <c r="N9" s="54" t="s">
        <v>5</v>
      </c>
      <c r="O9" s="28"/>
      <c r="P9" s="15"/>
      <c r="Q9" s="55" t="s">
        <v>4</v>
      </c>
      <c r="R9" s="56" t="s">
        <v>21</v>
      </c>
      <c r="S9" s="55" t="s">
        <v>4</v>
      </c>
      <c r="T9" s="56" t="s">
        <v>21</v>
      </c>
      <c r="U9" s="55" t="s">
        <v>4</v>
      </c>
      <c r="V9" s="56" t="s">
        <v>21</v>
      </c>
      <c r="W9" s="55" t="s">
        <v>4</v>
      </c>
      <c r="X9" s="56" t="s">
        <v>21</v>
      </c>
      <c r="Y9" s="55" t="s">
        <v>4</v>
      </c>
      <c r="Z9" s="56" t="s">
        <v>21</v>
      </c>
      <c r="AA9" s="55" t="s">
        <v>4</v>
      </c>
      <c r="AB9" s="56" t="s">
        <v>21</v>
      </c>
      <c r="AC9" s="55" t="s">
        <v>4</v>
      </c>
      <c r="AD9" s="56" t="s">
        <v>21</v>
      </c>
      <c r="AE9" s="26"/>
      <c r="AF9" s="15"/>
      <c r="AG9" s="58" t="s">
        <v>34</v>
      </c>
      <c r="AH9" s="72" t="s">
        <v>25</v>
      </c>
      <c r="AI9" s="73" t="s">
        <v>36</v>
      </c>
      <c r="AJ9" s="63" t="s">
        <v>34</v>
      </c>
      <c r="AK9" s="80" t="s">
        <v>25</v>
      </c>
      <c r="AL9" s="81" t="s">
        <v>36</v>
      </c>
      <c r="AM9" s="68" t="s">
        <v>35</v>
      </c>
      <c r="AN9" s="17"/>
      <c r="AO9" s="104"/>
      <c r="AP9" s="104"/>
      <c r="AQ9" s="15"/>
    </row>
    <row r="10" spans="1:43" ht="17.100000000000001" customHeight="1" x14ac:dyDescent="0.25">
      <c r="A10" s="1">
        <v>1</v>
      </c>
      <c r="B10" s="39" t="s">
        <v>105</v>
      </c>
      <c r="C10" s="96">
        <v>0</v>
      </c>
      <c r="D10" s="12">
        <f>IF(C10="","",C10/E$8*100)</f>
        <v>0</v>
      </c>
      <c r="E10" s="11">
        <f>IF(D10="","",IF(D10&gt;E$7,(E$6*(D10-E$7)+E$5*(100-D10))/(100-E$7),C10*E$5/(E$8*E$7*0.01)))</f>
        <v>0</v>
      </c>
      <c r="F10" s="96">
        <v>0</v>
      </c>
      <c r="G10" s="12">
        <f>IF(F10="","",F10/H$8*100)</f>
        <v>0</v>
      </c>
      <c r="H10" s="11">
        <f>IF(G10="","",IF(G10&gt;H$7,(H$6*(G10-H$7)+H$5*(100-G10))/(100-H$7),F10*H$5/(H$8*H$7*0.01)))</f>
        <v>0</v>
      </c>
      <c r="I10" s="96"/>
      <c r="J10" s="12" t="str">
        <f>IF(I10="","",I10/K$8*100)</f>
        <v/>
      </c>
      <c r="K10" s="11" t="str">
        <f>IF(J10="","",IF(J10&gt;K$7,(K$6*(J10-K$7)+K$5*(100-J10))/(100-K$7),I10*K$5/(K$8*K$7*0.01)))</f>
        <v/>
      </c>
      <c r="L10" s="96"/>
      <c r="M10" s="12" t="str">
        <f>IF(L10="","",L10/N$8*100)</f>
        <v/>
      </c>
      <c r="N10" s="11" t="str">
        <f>IF(M10="","",IF(M10&gt;N$7,(N$6*(M10-N$7)+N$5*(100-M10))/(100-N$7),L10*N$5/(N$8*N$7*0.01)))</f>
        <v/>
      </c>
      <c r="O10" s="28"/>
      <c r="P10" s="16" t="str">
        <f t="shared" ref="P10:P19" si="0">LEFT(B10,8)&amp;".."</f>
        <v>Student ..</v>
      </c>
      <c r="Q10" s="46">
        <v>0</v>
      </c>
      <c r="R10" s="47">
        <v>0</v>
      </c>
      <c r="S10" s="46">
        <v>0</v>
      </c>
      <c r="T10" s="47">
        <v>0</v>
      </c>
      <c r="U10" s="46" t="s">
        <v>116</v>
      </c>
      <c r="V10" s="47" t="s">
        <v>116</v>
      </c>
      <c r="W10" s="46" t="s">
        <v>116</v>
      </c>
      <c r="X10" s="47" t="s">
        <v>116</v>
      </c>
      <c r="Y10" s="101">
        <v>0</v>
      </c>
      <c r="Z10" s="102">
        <v>0</v>
      </c>
      <c r="AA10" s="101" t="s">
        <v>116</v>
      </c>
      <c r="AB10" s="102" t="s">
        <v>116</v>
      </c>
      <c r="AC10" s="99">
        <v>0</v>
      </c>
      <c r="AD10" s="100">
        <v>0</v>
      </c>
      <c r="AE10" s="27"/>
      <c r="AF10" s="16" t="str">
        <f t="shared" ref="AF10:AF19" si="1">LEFT(B10,8)&amp;".."</f>
        <v>Student ..</v>
      </c>
      <c r="AG10" s="59"/>
      <c r="AH10" s="74"/>
      <c r="AI10" s="75"/>
      <c r="AJ10" s="64"/>
      <c r="AK10" s="74"/>
      <c r="AL10" s="82"/>
      <c r="AM10" s="69"/>
      <c r="AN10" s="15"/>
      <c r="AO10" s="45"/>
      <c r="AP10" s="45"/>
      <c r="AQ10" s="15"/>
    </row>
    <row r="11" spans="1:43" ht="17.100000000000001" customHeight="1" x14ac:dyDescent="0.25">
      <c r="A11" s="1">
        <v>2</v>
      </c>
      <c r="B11" s="39" t="s">
        <v>106</v>
      </c>
      <c r="C11" s="97">
        <v>1</v>
      </c>
      <c r="D11" s="12">
        <f t="shared" ref="D11:D12" si="2">IF(C11="","",C11/E$8*100)</f>
        <v>1.4285714285714286</v>
      </c>
      <c r="E11" s="11">
        <f>IF(D11="","",IF(D11&gt;E$7,(E$6*(D11-E$7)+E$5*(100-D11))/(100-E$7),C11*E$5/(E$8*E$7*0.01)))</f>
        <v>0.42857142857142855</v>
      </c>
      <c r="F11" s="97"/>
      <c r="G11" s="12" t="str">
        <f t="shared" ref="G11:G19" si="3">IF(F11="","",F11/H$8*100)</f>
        <v/>
      </c>
      <c r="H11" s="11" t="str">
        <f>IF(G11="","",IF(G11&gt;H$7,(H$6*(G11-H$7)+H$5*(100-G11))/(100-H$7),F11*H$5/(H$8*H$7*0.01)))</f>
        <v/>
      </c>
      <c r="I11" s="96">
        <v>0</v>
      </c>
      <c r="J11" s="12">
        <f t="shared" ref="J11:J19" si="4">IF(I11="","",I11/K$8*100)</f>
        <v>0</v>
      </c>
      <c r="K11" s="11">
        <f>IF(J11="","",IF(J11&gt;K$7,(K$6*(J11-K$7)+K$5*(100-J11))/(100-K$7),I11*K$5/(K$8*K$7*0.01)))</f>
        <v>0</v>
      </c>
      <c r="L11" s="96">
        <v>0</v>
      </c>
      <c r="M11" s="12">
        <f t="shared" ref="M11:M19" si="5">IF(L11="","",L11/N$8*100)</f>
        <v>0</v>
      </c>
      <c r="N11" s="11">
        <f>IF(M11="","",IF(M11&gt;N$7,(N$6*(M11-N$7)+N$5*(100-M11))/(100-N$7),L11*N$5/(N$8*N$7*0.01)))</f>
        <v>0</v>
      </c>
      <c r="O11" s="28"/>
      <c r="P11" s="16" t="str">
        <f t="shared" si="0"/>
        <v>Student ..</v>
      </c>
      <c r="Q11" s="46">
        <v>1.4285714285714286</v>
      </c>
      <c r="R11" s="47">
        <v>0.42857142857142855</v>
      </c>
      <c r="S11" s="46" t="s">
        <v>116</v>
      </c>
      <c r="T11" s="47" t="s">
        <v>116</v>
      </c>
      <c r="U11" s="46">
        <v>0</v>
      </c>
      <c r="V11" s="47">
        <v>0</v>
      </c>
      <c r="W11" s="46">
        <v>0</v>
      </c>
      <c r="X11" s="47">
        <v>0</v>
      </c>
      <c r="Y11" s="101">
        <v>1.4285714285714286</v>
      </c>
      <c r="Z11" s="102">
        <v>0.42857142857142855</v>
      </c>
      <c r="AA11" s="101">
        <v>0</v>
      </c>
      <c r="AB11" s="102">
        <v>0</v>
      </c>
      <c r="AC11" s="99">
        <v>0.47619047619047616</v>
      </c>
      <c r="AD11" s="100">
        <v>0.14285714285714285</v>
      </c>
      <c r="AE11" s="27"/>
      <c r="AF11" s="16" t="str">
        <f t="shared" si="1"/>
        <v>Student ..</v>
      </c>
      <c r="AG11" s="60"/>
      <c r="AH11" s="76"/>
      <c r="AI11" s="77"/>
      <c r="AJ11" s="65"/>
      <c r="AK11" s="76"/>
      <c r="AL11" s="83"/>
      <c r="AM11" s="70"/>
      <c r="AN11" s="15"/>
      <c r="AO11" s="45"/>
      <c r="AP11" s="45"/>
      <c r="AQ11" s="15"/>
    </row>
    <row r="12" spans="1:43" ht="17.100000000000001" customHeight="1" x14ac:dyDescent="0.25">
      <c r="A12" s="1">
        <v>3</v>
      </c>
      <c r="B12" s="39" t="s">
        <v>107</v>
      </c>
      <c r="C12" s="96"/>
      <c r="D12" s="12" t="str">
        <f t="shared" si="2"/>
        <v/>
      </c>
      <c r="E12" s="11" t="str">
        <f t="shared" ref="E12:E19" si="6">IF(D12="","",IF(D12&gt;E$7,(E$6*(D12-E$7)+E$5*(100-D12))/(100-E$7),C12*E$5/(E$8*E$7*0.01)))</f>
        <v/>
      </c>
      <c r="F12" s="96"/>
      <c r="G12" s="12" t="str">
        <f t="shared" si="3"/>
        <v/>
      </c>
      <c r="H12" s="11" t="str">
        <f t="shared" ref="H12:H19" si="7">IF(G12="","",IF(G12&gt;H$7,(H$6*(G12-H$7)+H$5*(100-G12))/(100-H$7),F12*H$5/(H$8*H$7*0.01)))</f>
        <v/>
      </c>
      <c r="I12" s="96"/>
      <c r="J12" s="12" t="str">
        <f t="shared" si="4"/>
        <v/>
      </c>
      <c r="K12" s="11" t="str">
        <f t="shared" ref="K12:K19" si="8">IF(J12="","",IF(J12&gt;K$7,(K$6*(J12-K$7)+K$5*(100-J12))/(100-K$7),I12*K$5/(K$8*K$7*0.01)))</f>
        <v/>
      </c>
      <c r="L12" s="96"/>
      <c r="M12" s="12" t="str">
        <f t="shared" si="5"/>
        <v/>
      </c>
      <c r="N12" s="11" t="str">
        <f t="shared" ref="N12:N19" si="9">IF(M12="","",IF(M12&gt;N$7,(N$6*(M12-N$7)+N$5*(100-M12))/(100-N$7),L12*N$5/(N$8*N$7*0.01)))</f>
        <v/>
      </c>
      <c r="O12" s="28"/>
      <c r="P12" s="16" t="str">
        <f t="shared" si="0"/>
        <v>Student ..</v>
      </c>
      <c r="Q12" s="46" t="s">
        <v>116</v>
      </c>
      <c r="R12" s="47" t="s">
        <v>116</v>
      </c>
      <c r="S12" s="46" t="s">
        <v>116</v>
      </c>
      <c r="T12" s="47" t="s">
        <v>116</v>
      </c>
      <c r="U12" s="46" t="s">
        <v>116</v>
      </c>
      <c r="V12" s="47" t="s">
        <v>116</v>
      </c>
      <c r="W12" s="46" t="s">
        <v>116</v>
      </c>
      <c r="X12" s="47" t="s">
        <v>116</v>
      </c>
      <c r="Y12" s="101" t="s">
        <v>116</v>
      </c>
      <c r="Z12" s="102" t="s">
        <v>116</v>
      </c>
      <c r="AA12" s="101" t="s">
        <v>116</v>
      </c>
      <c r="AB12" s="102" t="s">
        <v>116</v>
      </c>
      <c r="AC12" s="99" t="s">
        <v>116</v>
      </c>
      <c r="AD12" s="100" t="s">
        <v>116</v>
      </c>
      <c r="AE12" s="27"/>
      <c r="AF12" s="16" t="str">
        <f t="shared" si="1"/>
        <v>Student ..</v>
      </c>
      <c r="AG12" s="60"/>
      <c r="AH12" s="76"/>
      <c r="AI12" s="77"/>
      <c r="AJ12" s="65"/>
      <c r="AK12" s="76"/>
      <c r="AL12" s="83"/>
      <c r="AM12" s="70"/>
      <c r="AN12" s="15"/>
      <c r="AO12" s="45"/>
      <c r="AP12" s="45"/>
      <c r="AQ12" s="15"/>
    </row>
    <row r="13" spans="1:43" ht="17.100000000000001" customHeight="1" x14ac:dyDescent="0.25">
      <c r="A13" s="1">
        <v>4</v>
      </c>
      <c r="B13" s="39" t="s">
        <v>108</v>
      </c>
      <c r="C13" s="96">
        <v>44</v>
      </c>
      <c r="D13" s="12">
        <f t="shared" ref="D13:D16" si="10">IF(C13="","",C13/E$8*100)</f>
        <v>62.857142857142854</v>
      </c>
      <c r="E13" s="11">
        <f t="shared" ref="E13:E16" si="11">IF(D13="","",IF(D13&gt;E$7,(E$6*(D13-E$7)+E$5*(100-D13))/(100-E$7),C13*E$5/(E$8*E$7*0.01)))</f>
        <v>8.1428571428571423</v>
      </c>
      <c r="F13" s="96">
        <v>33</v>
      </c>
      <c r="G13" s="12">
        <f t="shared" si="3"/>
        <v>55.000000000000007</v>
      </c>
      <c r="H13" s="11">
        <f t="shared" si="7"/>
        <v>7.4285714285714288</v>
      </c>
      <c r="I13" s="96">
        <v>11</v>
      </c>
      <c r="J13" s="12">
        <f t="shared" si="4"/>
        <v>18.333333333333332</v>
      </c>
      <c r="K13" s="11">
        <f t="shared" si="8"/>
        <v>2.75</v>
      </c>
      <c r="L13" s="96">
        <v>78</v>
      </c>
      <c r="M13" s="12">
        <f t="shared" si="5"/>
        <v>78</v>
      </c>
      <c r="N13" s="11">
        <f t="shared" si="9"/>
        <v>8.9</v>
      </c>
      <c r="O13" s="28"/>
      <c r="P13" s="16" t="str">
        <f t="shared" si="0"/>
        <v>Student ..</v>
      </c>
      <c r="Q13" s="46">
        <v>62.857142857142854</v>
      </c>
      <c r="R13" s="47">
        <v>8.1428571428571423</v>
      </c>
      <c r="S13" s="46">
        <v>55.000000000000007</v>
      </c>
      <c r="T13" s="47">
        <v>7.4285714285714288</v>
      </c>
      <c r="U13" s="46">
        <v>18.333333333333332</v>
      </c>
      <c r="V13" s="47">
        <v>2.75</v>
      </c>
      <c r="W13" s="46">
        <v>78</v>
      </c>
      <c r="X13" s="47">
        <v>8.9</v>
      </c>
      <c r="Y13" s="101">
        <v>58.928571428571431</v>
      </c>
      <c r="Z13" s="102">
        <v>7.7857142857142856</v>
      </c>
      <c r="AA13" s="101">
        <v>48.166666666666664</v>
      </c>
      <c r="AB13" s="102">
        <v>5.8250000000000002</v>
      </c>
      <c r="AC13" s="99">
        <v>53.547619047619051</v>
      </c>
      <c r="AD13" s="100">
        <v>6.805357142857142</v>
      </c>
      <c r="AE13" s="27"/>
      <c r="AF13" s="16" t="str">
        <f t="shared" si="1"/>
        <v>Student ..</v>
      </c>
      <c r="AG13" s="60"/>
      <c r="AH13" s="76"/>
      <c r="AI13" s="77"/>
      <c r="AJ13" s="65"/>
      <c r="AK13" s="76"/>
      <c r="AL13" s="83"/>
      <c r="AM13" s="70"/>
      <c r="AN13" s="15"/>
      <c r="AO13" s="45"/>
      <c r="AP13" s="45"/>
      <c r="AQ13" s="15"/>
    </row>
    <row r="14" spans="1:43" ht="17.100000000000001" customHeight="1" x14ac:dyDescent="0.25">
      <c r="A14" s="1">
        <v>5</v>
      </c>
      <c r="B14" s="39" t="s">
        <v>109</v>
      </c>
      <c r="C14" s="96">
        <v>3</v>
      </c>
      <c r="D14" s="12">
        <f t="shared" si="10"/>
        <v>4.2857142857142856</v>
      </c>
      <c r="E14" s="11">
        <f t="shared" si="11"/>
        <v>1.2857142857142858</v>
      </c>
      <c r="F14" s="96">
        <v>22</v>
      </c>
      <c r="G14" s="12">
        <f t="shared" si="3"/>
        <v>36.666666666666664</v>
      </c>
      <c r="H14" s="11">
        <f t="shared" si="7"/>
        <v>6.3809523809523805</v>
      </c>
      <c r="I14" s="96">
        <v>22</v>
      </c>
      <c r="J14" s="12">
        <f t="shared" si="4"/>
        <v>36.666666666666664</v>
      </c>
      <c r="K14" s="11">
        <f t="shared" si="8"/>
        <v>5.5</v>
      </c>
      <c r="L14" s="96">
        <v>44</v>
      </c>
      <c r="M14" s="12">
        <f t="shared" si="5"/>
        <v>44</v>
      </c>
      <c r="N14" s="11">
        <f t="shared" si="9"/>
        <v>7.2</v>
      </c>
      <c r="O14" s="28"/>
      <c r="P14" s="16" t="str">
        <f t="shared" si="0"/>
        <v>Student ..</v>
      </c>
      <c r="Q14" s="46">
        <v>4.2857142857142856</v>
      </c>
      <c r="R14" s="47">
        <v>1.2857142857142858</v>
      </c>
      <c r="S14" s="46">
        <v>36.666666666666664</v>
      </c>
      <c r="T14" s="47">
        <v>6.3809523809523805</v>
      </c>
      <c r="U14" s="46">
        <v>36.666666666666664</v>
      </c>
      <c r="V14" s="47">
        <v>5.5</v>
      </c>
      <c r="W14" s="46">
        <v>44</v>
      </c>
      <c r="X14" s="47">
        <v>7.2</v>
      </c>
      <c r="Y14" s="101">
        <v>20.476190476190474</v>
      </c>
      <c r="Z14" s="102">
        <v>3.833333333333333</v>
      </c>
      <c r="AA14" s="101">
        <v>40.333333333333329</v>
      </c>
      <c r="AB14" s="102">
        <v>6.35</v>
      </c>
      <c r="AC14" s="99">
        <v>30.404761904761905</v>
      </c>
      <c r="AD14" s="100">
        <v>5.0916666666666668</v>
      </c>
      <c r="AE14" s="27"/>
      <c r="AF14" s="16" t="str">
        <f t="shared" si="1"/>
        <v>Student ..</v>
      </c>
      <c r="AG14" s="60"/>
      <c r="AH14" s="76"/>
      <c r="AI14" s="77"/>
      <c r="AJ14" s="65"/>
      <c r="AK14" s="76"/>
      <c r="AL14" s="83"/>
      <c r="AM14" s="70"/>
      <c r="AN14" s="15"/>
      <c r="AO14" s="45"/>
      <c r="AP14" s="45"/>
      <c r="AQ14" s="15"/>
    </row>
    <row r="15" spans="1:43" ht="17.100000000000001" customHeight="1" x14ac:dyDescent="0.25">
      <c r="A15" s="1">
        <v>6</v>
      </c>
      <c r="B15" s="39" t="s">
        <v>110</v>
      </c>
      <c r="C15" s="96">
        <v>30</v>
      </c>
      <c r="D15" s="12">
        <f t="shared" si="10"/>
        <v>42.857142857142854</v>
      </c>
      <c r="E15" s="11">
        <f t="shared" si="11"/>
        <v>7.1428571428571432</v>
      </c>
      <c r="F15" s="96">
        <v>11</v>
      </c>
      <c r="G15" s="12">
        <f t="shared" si="3"/>
        <v>18.333333333333332</v>
      </c>
      <c r="H15" s="11">
        <f t="shared" si="7"/>
        <v>3.6666666666666665</v>
      </c>
      <c r="I15" s="96">
        <v>33</v>
      </c>
      <c r="J15" s="12">
        <f t="shared" si="4"/>
        <v>55.000000000000007</v>
      </c>
      <c r="K15" s="11">
        <f t="shared" si="8"/>
        <v>7</v>
      </c>
      <c r="L15" s="96">
        <v>22</v>
      </c>
      <c r="M15" s="12">
        <f t="shared" si="5"/>
        <v>22</v>
      </c>
      <c r="N15" s="11">
        <f t="shared" si="9"/>
        <v>6.1</v>
      </c>
      <c r="O15" s="28"/>
      <c r="P15" s="16" t="str">
        <f t="shared" si="0"/>
        <v>Student ..</v>
      </c>
      <c r="Q15" s="46">
        <v>42.857142857142854</v>
      </c>
      <c r="R15" s="47">
        <v>7.1428571428571432</v>
      </c>
      <c r="S15" s="46">
        <v>18.333333333333332</v>
      </c>
      <c r="T15" s="47">
        <v>3.6666666666666665</v>
      </c>
      <c r="U15" s="46">
        <v>55.000000000000007</v>
      </c>
      <c r="V15" s="47">
        <v>7</v>
      </c>
      <c r="W15" s="46">
        <v>22</v>
      </c>
      <c r="X15" s="47">
        <v>6.1</v>
      </c>
      <c r="Y15" s="101">
        <v>30.595238095238095</v>
      </c>
      <c r="Z15" s="102">
        <v>5.4047619047619051</v>
      </c>
      <c r="AA15" s="101">
        <v>38.5</v>
      </c>
      <c r="AB15" s="102">
        <v>6.55</v>
      </c>
      <c r="AC15" s="99">
        <v>34.547619047619051</v>
      </c>
      <c r="AD15" s="100">
        <v>5.9773809523809529</v>
      </c>
      <c r="AE15" s="27"/>
      <c r="AF15" s="16" t="str">
        <f t="shared" si="1"/>
        <v>Student ..</v>
      </c>
      <c r="AG15" s="60"/>
      <c r="AH15" s="76"/>
      <c r="AI15" s="77"/>
      <c r="AJ15" s="65"/>
      <c r="AK15" s="76"/>
      <c r="AL15" s="83"/>
      <c r="AM15" s="70"/>
      <c r="AN15" s="15"/>
      <c r="AO15" s="45"/>
      <c r="AP15" s="45"/>
      <c r="AQ15" s="15"/>
    </row>
    <row r="16" spans="1:43" ht="17.100000000000001" customHeight="1" x14ac:dyDescent="0.25">
      <c r="A16" s="1">
        <v>7</v>
      </c>
      <c r="B16" s="39" t="s">
        <v>111</v>
      </c>
      <c r="C16" s="96">
        <v>30</v>
      </c>
      <c r="D16" s="12">
        <f t="shared" si="10"/>
        <v>42.857142857142854</v>
      </c>
      <c r="E16" s="11">
        <f t="shared" si="11"/>
        <v>7.1428571428571432</v>
      </c>
      <c r="F16" s="96">
        <v>5</v>
      </c>
      <c r="G16" s="12">
        <f t="shared" si="3"/>
        <v>8.3333333333333321</v>
      </c>
      <c r="H16" s="11">
        <f t="shared" si="7"/>
        <v>1.6666666666666667</v>
      </c>
      <c r="I16" s="96">
        <v>44</v>
      </c>
      <c r="J16" s="12">
        <f t="shared" si="4"/>
        <v>73.333333333333329</v>
      </c>
      <c r="K16" s="11">
        <f t="shared" si="8"/>
        <v>8.2222222222222214</v>
      </c>
      <c r="L16" s="96">
        <v>6</v>
      </c>
      <c r="M16" s="12">
        <f t="shared" si="5"/>
        <v>6</v>
      </c>
      <c r="N16" s="11">
        <f t="shared" si="9"/>
        <v>1.8</v>
      </c>
      <c r="O16" s="28"/>
      <c r="P16" s="16" t="str">
        <f t="shared" si="0"/>
        <v>Student ..</v>
      </c>
      <c r="Q16" s="46">
        <v>42.857142857142854</v>
      </c>
      <c r="R16" s="47">
        <v>7.1428571428571432</v>
      </c>
      <c r="S16" s="46">
        <v>8.3333333333333321</v>
      </c>
      <c r="T16" s="47">
        <v>1.6666666666666667</v>
      </c>
      <c r="U16" s="46">
        <v>73.333333333333329</v>
      </c>
      <c r="V16" s="47">
        <v>8.2222222222222214</v>
      </c>
      <c r="W16" s="46">
        <v>6</v>
      </c>
      <c r="X16" s="47">
        <v>1.8</v>
      </c>
      <c r="Y16" s="101">
        <v>25.595238095238095</v>
      </c>
      <c r="Z16" s="102">
        <v>4.4047619047619051</v>
      </c>
      <c r="AA16" s="101">
        <v>39.666666666666664</v>
      </c>
      <c r="AB16" s="102">
        <v>5.0111111111111111</v>
      </c>
      <c r="AC16" s="99">
        <v>32.63095238095238</v>
      </c>
      <c r="AD16" s="100">
        <v>4.7079365079365081</v>
      </c>
      <c r="AE16" s="27"/>
      <c r="AF16" s="16" t="str">
        <f t="shared" si="1"/>
        <v>Student ..</v>
      </c>
      <c r="AG16" s="60"/>
      <c r="AH16" s="76"/>
      <c r="AI16" s="77"/>
      <c r="AJ16" s="65"/>
      <c r="AK16" s="76"/>
      <c r="AL16" s="83"/>
      <c r="AM16" s="70"/>
      <c r="AN16" s="15"/>
      <c r="AO16" s="45"/>
      <c r="AP16" s="45"/>
      <c r="AQ16" s="15"/>
    </row>
    <row r="17" spans="1:43" ht="17.100000000000001" customHeight="1" x14ac:dyDescent="0.25">
      <c r="A17" s="1">
        <v>8</v>
      </c>
      <c r="B17" s="39" t="s">
        <v>112</v>
      </c>
      <c r="C17" s="96">
        <v>20</v>
      </c>
      <c r="D17" s="12">
        <f t="shared" ref="D16:D19" si="12">IF(C17="","",C17/E$8*100)</f>
        <v>28.571428571428569</v>
      </c>
      <c r="E17" s="11">
        <f t="shared" si="6"/>
        <v>6.4285714285714279</v>
      </c>
      <c r="F17" s="96">
        <v>4</v>
      </c>
      <c r="G17" s="12">
        <f t="shared" si="3"/>
        <v>6.666666666666667</v>
      </c>
      <c r="H17" s="11">
        <f t="shared" si="7"/>
        <v>1.3333333333333333</v>
      </c>
      <c r="I17" s="96">
        <v>55</v>
      </c>
      <c r="J17" s="12">
        <f t="shared" si="4"/>
        <v>91.666666666666657</v>
      </c>
      <c r="K17" s="11">
        <f t="shared" si="8"/>
        <v>9.4444444444444411</v>
      </c>
      <c r="L17" s="96">
        <v>19</v>
      </c>
      <c r="M17" s="12">
        <f t="shared" si="5"/>
        <v>19</v>
      </c>
      <c r="N17" s="11">
        <f t="shared" si="9"/>
        <v>5.7</v>
      </c>
      <c r="O17" s="28"/>
      <c r="P17" s="16" t="str">
        <f t="shared" si="0"/>
        <v>Student ..</v>
      </c>
      <c r="Q17" s="46">
        <v>28.571428571428569</v>
      </c>
      <c r="R17" s="47">
        <v>6.4285714285714279</v>
      </c>
      <c r="S17" s="46">
        <v>6.666666666666667</v>
      </c>
      <c r="T17" s="47">
        <v>1.3333333333333333</v>
      </c>
      <c r="U17" s="46">
        <v>91.666666666666657</v>
      </c>
      <c r="V17" s="47">
        <v>9.4444444444444411</v>
      </c>
      <c r="W17" s="46">
        <v>19</v>
      </c>
      <c r="X17" s="47">
        <v>5.7</v>
      </c>
      <c r="Y17" s="101">
        <v>17.619047619047617</v>
      </c>
      <c r="Z17" s="102">
        <v>3.8809523809523805</v>
      </c>
      <c r="AA17" s="101">
        <v>55.333333333333329</v>
      </c>
      <c r="AB17" s="102">
        <v>7.5722222222222211</v>
      </c>
      <c r="AC17" s="99">
        <v>36.476190476190474</v>
      </c>
      <c r="AD17" s="100">
        <v>5.7265873015873003</v>
      </c>
      <c r="AE17" s="27"/>
      <c r="AF17" s="16" t="str">
        <f t="shared" si="1"/>
        <v>Student ..</v>
      </c>
      <c r="AG17" s="60"/>
      <c r="AH17" s="76"/>
      <c r="AI17" s="77"/>
      <c r="AJ17" s="65"/>
      <c r="AK17" s="76"/>
      <c r="AL17" s="83"/>
      <c r="AM17" s="70"/>
      <c r="AN17" s="15"/>
      <c r="AO17" s="45"/>
      <c r="AP17" s="45"/>
      <c r="AQ17" s="15"/>
    </row>
    <row r="18" spans="1:43" ht="17.100000000000001" customHeight="1" x14ac:dyDescent="0.25">
      <c r="A18" s="1">
        <v>9</v>
      </c>
      <c r="B18" s="39" t="s">
        <v>113</v>
      </c>
      <c r="C18" s="96">
        <v>60</v>
      </c>
      <c r="D18" s="12">
        <f t="shared" si="12"/>
        <v>85.714285714285708</v>
      </c>
      <c r="E18" s="11">
        <f t="shared" si="6"/>
        <v>9.2857142857142865</v>
      </c>
      <c r="F18" s="96">
        <v>3</v>
      </c>
      <c r="G18" s="12">
        <f t="shared" si="3"/>
        <v>5</v>
      </c>
      <c r="H18" s="11">
        <f t="shared" si="7"/>
        <v>1</v>
      </c>
      <c r="I18" s="96">
        <v>18</v>
      </c>
      <c r="J18" s="12">
        <f t="shared" si="4"/>
        <v>30</v>
      </c>
      <c r="K18" s="11">
        <f t="shared" si="8"/>
        <v>4.5</v>
      </c>
      <c r="L18" s="96">
        <v>88</v>
      </c>
      <c r="M18" s="12">
        <f t="shared" si="5"/>
        <v>88</v>
      </c>
      <c r="N18" s="11">
        <f t="shared" si="9"/>
        <v>9.4</v>
      </c>
      <c r="O18" s="28"/>
      <c r="P18" s="16" t="str">
        <f t="shared" si="0"/>
        <v>Student ..</v>
      </c>
      <c r="Q18" s="46">
        <v>85.714285714285708</v>
      </c>
      <c r="R18" s="47">
        <v>9.2857142857142865</v>
      </c>
      <c r="S18" s="46">
        <v>5</v>
      </c>
      <c r="T18" s="47">
        <v>1</v>
      </c>
      <c r="U18" s="46">
        <v>30</v>
      </c>
      <c r="V18" s="47">
        <v>4.5</v>
      </c>
      <c r="W18" s="46">
        <v>88</v>
      </c>
      <c r="X18" s="47">
        <v>9.4</v>
      </c>
      <c r="Y18" s="101">
        <v>45.357142857142854</v>
      </c>
      <c r="Z18" s="102">
        <v>5.1428571428571432</v>
      </c>
      <c r="AA18" s="101">
        <v>59</v>
      </c>
      <c r="AB18" s="102">
        <v>6.95</v>
      </c>
      <c r="AC18" s="99">
        <v>52.178571428571431</v>
      </c>
      <c r="AD18" s="100">
        <v>6.0464285714285717</v>
      </c>
      <c r="AE18" s="27"/>
      <c r="AF18" s="16" t="str">
        <f t="shared" si="1"/>
        <v>Student ..</v>
      </c>
      <c r="AG18" s="60"/>
      <c r="AH18" s="76"/>
      <c r="AI18" s="77"/>
      <c r="AJ18" s="65"/>
      <c r="AK18" s="76"/>
      <c r="AL18" s="83"/>
      <c r="AM18" s="70"/>
      <c r="AN18" s="15"/>
      <c r="AO18" s="45"/>
      <c r="AP18" s="45"/>
      <c r="AQ18" s="15"/>
    </row>
    <row r="19" spans="1:43" ht="17.100000000000001" customHeight="1" x14ac:dyDescent="0.25">
      <c r="A19" s="1">
        <v>10</v>
      </c>
      <c r="B19" s="39" t="s">
        <v>114</v>
      </c>
      <c r="C19" s="96"/>
      <c r="D19" s="12" t="str">
        <f t="shared" si="12"/>
        <v/>
      </c>
      <c r="E19" s="11" t="str">
        <f t="shared" si="6"/>
        <v/>
      </c>
      <c r="F19" s="96">
        <v>60</v>
      </c>
      <c r="G19" s="12">
        <f t="shared" si="3"/>
        <v>100</v>
      </c>
      <c r="H19" s="11">
        <f t="shared" si="7"/>
        <v>10</v>
      </c>
      <c r="I19" s="96">
        <v>60</v>
      </c>
      <c r="J19" s="12">
        <f t="shared" si="4"/>
        <v>100</v>
      </c>
      <c r="K19" s="11">
        <f t="shared" si="8"/>
        <v>10</v>
      </c>
      <c r="L19" s="96">
        <v>100</v>
      </c>
      <c r="M19" s="12">
        <f t="shared" si="5"/>
        <v>100</v>
      </c>
      <c r="N19" s="11">
        <f t="shared" si="9"/>
        <v>10</v>
      </c>
      <c r="O19" s="28"/>
      <c r="P19" s="16" t="str">
        <f t="shared" si="0"/>
        <v>Student ..</v>
      </c>
      <c r="Q19" s="46" t="s">
        <v>116</v>
      </c>
      <c r="R19" s="47" t="s">
        <v>116</v>
      </c>
      <c r="S19" s="46">
        <v>100</v>
      </c>
      <c r="T19" s="47">
        <v>10</v>
      </c>
      <c r="U19" s="46">
        <v>100</v>
      </c>
      <c r="V19" s="47">
        <v>10</v>
      </c>
      <c r="W19" s="46">
        <v>100</v>
      </c>
      <c r="X19" s="47">
        <v>10</v>
      </c>
      <c r="Y19" s="101">
        <v>100</v>
      </c>
      <c r="Z19" s="102">
        <v>10</v>
      </c>
      <c r="AA19" s="101">
        <v>100</v>
      </c>
      <c r="AB19" s="102">
        <v>10</v>
      </c>
      <c r="AC19" s="99">
        <v>99.999999999999986</v>
      </c>
      <c r="AD19" s="100">
        <v>10</v>
      </c>
      <c r="AE19" s="27"/>
      <c r="AF19" s="16" t="str">
        <f t="shared" si="1"/>
        <v>Student ..</v>
      </c>
      <c r="AG19" s="60"/>
      <c r="AH19" s="76"/>
      <c r="AI19" s="77"/>
      <c r="AJ19" s="65"/>
      <c r="AK19" s="76"/>
      <c r="AL19" s="83"/>
      <c r="AM19" s="70"/>
      <c r="AN19" s="15"/>
      <c r="AO19" s="45"/>
      <c r="AP19" s="45"/>
      <c r="AQ19" s="15"/>
    </row>
    <row r="20" spans="1:43" s="95" customFormat="1" ht="17.100000000000001" customHeight="1" x14ac:dyDescent="0.25">
      <c r="A20" s="1">
        <v>11</v>
      </c>
      <c r="B20" s="39" t="s">
        <v>117</v>
      </c>
      <c r="C20" s="96"/>
      <c r="D20" s="12">
        <v>45</v>
      </c>
      <c r="E20" s="11">
        <f t="shared" ref="E20" si="13">IF(D20="","",IF(D20&gt;E$7,(E$6*(D20-E$7)+E$5*(100-D20))/(100-E$7),C20*E$5/(E$8*E$7*0.01)))</f>
        <v>7.25</v>
      </c>
      <c r="F20" s="96"/>
      <c r="G20" s="12" t="str">
        <f t="shared" ref="G20" si="14">IF(F20="","",F20/H$8*100)</f>
        <v/>
      </c>
      <c r="H20" s="11" t="str">
        <f t="shared" ref="H20" si="15">IF(G20="","",IF(G20&gt;H$7,(H$6*(G20-H$7)+H$5*(100-G20))/(100-H$7),F20*H$5/(H$8*H$7*0.01)))</f>
        <v/>
      </c>
      <c r="I20" s="96">
        <v>55</v>
      </c>
      <c r="J20" s="12">
        <f t="shared" ref="J20" si="16">IF(I20="","",I20/K$8*100)</f>
        <v>91.666666666666657</v>
      </c>
      <c r="K20" s="11">
        <f t="shared" ref="K20" si="17">IF(J20="","",IF(J20&gt;K$7,(K$6*(J20-K$7)+K$5*(100-J20))/(100-K$7),I20*K$5/(K$8*K$7*0.01)))</f>
        <v>9.4444444444444411</v>
      </c>
      <c r="L20" s="96">
        <v>34</v>
      </c>
      <c r="M20" s="12">
        <f t="shared" ref="M20" si="18">IF(L20="","",L20/N$8*100)</f>
        <v>34</v>
      </c>
      <c r="N20" s="11">
        <f t="shared" ref="N20" si="19">IF(M20="","",IF(M20&gt;N$7,(N$6*(M20-N$7)+N$5*(100-M20))/(100-N$7),L20*N$5/(N$8*N$7*0.01)))</f>
        <v>6.7</v>
      </c>
      <c r="O20" s="28"/>
      <c r="P20" s="16" t="str">
        <f t="shared" ref="P20" si="20">LEFT(B20,8)&amp;".."</f>
        <v>Student ..</v>
      </c>
      <c r="Q20" s="46">
        <v>45</v>
      </c>
      <c r="R20" s="47">
        <v>7.25</v>
      </c>
      <c r="S20" s="46" t="s">
        <v>116</v>
      </c>
      <c r="T20" s="47" t="s">
        <v>116</v>
      </c>
      <c r="U20" s="46">
        <v>91.666666666666657</v>
      </c>
      <c r="V20" s="47">
        <v>9.4444444444444411</v>
      </c>
      <c r="W20" s="46">
        <v>34</v>
      </c>
      <c r="X20" s="47">
        <v>6.7</v>
      </c>
      <c r="Y20" s="101">
        <v>45</v>
      </c>
      <c r="Z20" s="102">
        <v>7.25</v>
      </c>
      <c r="AA20" s="101">
        <v>62.833333333333329</v>
      </c>
      <c r="AB20" s="102">
        <v>8.0722222222222211</v>
      </c>
      <c r="AC20" s="99">
        <v>56.888888888888886</v>
      </c>
      <c r="AD20" s="100">
        <v>7.7981481481481465</v>
      </c>
      <c r="AE20" s="27"/>
      <c r="AF20" s="16" t="str">
        <f t="shared" ref="AF20" si="21">LEFT(B20,8)&amp;".."</f>
        <v>Student ..</v>
      </c>
      <c r="AG20" s="60"/>
      <c r="AH20" s="76"/>
      <c r="AI20" s="77"/>
      <c r="AJ20" s="65"/>
      <c r="AK20" s="76"/>
      <c r="AL20" s="83"/>
      <c r="AM20" s="70"/>
      <c r="AN20" s="15"/>
      <c r="AO20" s="45"/>
      <c r="AP20" s="45"/>
      <c r="AQ20" s="15"/>
    </row>
    <row r="21" spans="1:43" s="95" customFormat="1" ht="17.100000000000001" customHeight="1" x14ac:dyDescent="0.25">
      <c r="A21" s="1">
        <v>12</v>
      </c>
      <c r="B21" s="39" t="s">
        <v>119</v>
      </c>
      <c r="C21" s="96"/>
      <c r="D21" s="12">
        <v>22</v>
      </c>
      <c r="E21" s="11">
        <f t="shared" ref="E21" si="22">IF(D21="","",IF(D21&gt;E$7,(E$6*(D21-E$7)+E$5*(100-D21))/(100-E$7),C21*E$5/(E$8*E$7*0.01)))</f>
        <v>6.1</v>
      </c>
      <c r="F21" s="96">
        <v>22</v>
      </c>
      <c r="G21" s="12">
        <f t="shared" ref="G21" si="23">IF(F21="","",F21/H$8*100)</f>
        <v>36.666666666666664</v>
      </c>
      <c r="H21" s="11">
        <f t="shared" ref="H21" si="24">IF(G21="","",IF(G21&gt;H$7,(H$6*(G21-H$7)+H$5*(100-G21))/(100-H$7),F21*H$5/(H$8*H$7*0.01)))</f>
        <v>6.3809523809523805</v>
      </c>
      <c r="I21" s="96">
        <v>33</v>
      </c>
      <c r="J21" s="12">
        <f t="shared" ref="J21" si="25">IF(I21="","",I21/K$8*100)</f>
        <v>55.000000000000007</v>
      </c>
      <c r="K21" s="11">
        <f t="shared" ref="K21" si="26">IF(J21="","",IF(J21&gt;K$7,(K$6*(J21-K$7)+K$5*(100-J21))/(100-K$7),I21*K$5/(K$8*K$7*0.01)))</f>
        <v>7</v>
      </c>
      <c r="L21" s="96">
        <v>99</v>
      </c>
      <c r="M21" s="12">
        <f t="shared" ref="M21" si="27">IF(L21="","",L21/N$8*100)</f>
        <v>99</v>
      </c>
      <c r="N21" s="11">
        <f t="shared" ref="N21" si="28">IF(M21="","",IF(M21&gt;N$7,(N$6*(M21-N$7)+N$5*(100-M21))/(100-N$7),L21*N$5/(N$8*N$7*0.01)))</f>
        <v>9.9499999999999993</v>
      </c>
      <c r="O21" s="28"/>
      <c r="P21" s="16" t="str">
        <f t="shared" ref="P21" si="29">LEFT(B21,8)&amp;".."</f>
        <v>Student ..</v>
      </c>
      <c r="Q21" s="46">
        <v>22</v>
      </c>
      <c r="R21" s="47">
        <v>6.1</v>
      </c>
      <c r="S21" s="46">
        <v>36.666666666666664</v>
      </c>
      <c r="T21" s="47">
        <v>6.3809523809523805</v>
      </c>
      <c r="U21" s="46">
        <v>55.000000000000007</v>
      </c>
      <c r="V21" s="47">
        <v>7</v>
      </c>
      <c r="W21" s="46">
        <v>99</v>
      </c>
      <c r="X21" s="47">
        <v>9.9499999999999993</v>
      </c>
      <c r="Y21" s="101">
        <v>29.333333333333332</v>
      </c>
      <c r="Z21" s="102">
        <v>6.2404761904761905</v>
      </c>
      <c r="AA21" s="101">
        <v>77</v>
      </c>
      <c r="AB21" s="102">
        <v>8.4749999999999996</v>
      </c>
      <c r="AC21" s="99">
        <v>53.166666666666671</v>
      </c>
      <c r="AD21" s="100">
        <v>7.3577380952380951</v>
      </c>
      <c r="AE21" s="27"/>
      <c r="AF21" s="16" t="str">
        <f t="shared" ref="AF21" si="30">LEFT(B21,8)&amp;".."</f>
        <v>Student ..</v>
      </c>
      <c r="AG21" s="60"/>
      <c r="AH21" s="76"/>
      <c r="AI21" s="77"/>
      <c r="AJ21" s="65"/>
      <c r="AK21" s="76"/>
      <c r="AL21" s="83"/>
      <c r="AM21" s="70"/>
      <c r="AN21" s="15"/>
      <c r="AO21" s="45"/>
      <c r="AP21" s="45"/>
      <c r="AQ21" s="15"/>
    </row>
    <row r="22" spans="1:43" s="95" customFormat="1" ht="17.100000000000001" customHeight="1" x14ac:dyDescent="0.25">
      <c r="A22" s="1">
        <v>13</v>
      </c>
      <c r="B22" s="39" t="s">
        <v>120</v>
      </c>
      <c r="C22" s="96"/>
      <c r="D22" s="12">
        <v>55</v>
      </c>
      <c r="E22" s="11">
        <f t="shared" ref="E22" si="31">IF(D22="","",IF(D22&gt;E$7,(E$6*(D22-E$7)+E$5*(100-D22))/(100-E$7),C22*E$5/(E$8*E$7*0.01)))</f>
        <v>7.75</v>
      </c>
      <c r="F22" s="96"/>
      <c r="G22" s="12" t="str">
        <f t="shared" ref="G22" si="32">IF(F22="","",F22/H$8*100)</f>
        <v/>
      </c>
      <c r="H22" s="11" t="str">
        <f t="shared" ref="H22" si="33">IF(G22="","",IF(G22&gt;H$7,(H$6*(G22-H$7)+H$5*(100-G22))/(100-H$7),F22*H$5/(H$8*H$7*0.01)))</f>
        <v/>
      </c>
      <c r="I22" s="96">
        <v>51</v>
      </c>
      <c r="J22" s="12">
        <f t="shared" ref="J22" si="34">IF(I22="","",I22/K$8*100)</f>
        <v>85</v>
      </c>
      <c r="K22" s="11">
        <f t="shared" ref="K22" si="35">IF(J22="","",IF(J22&gt;K$7,(K$6*(J22-K$7)+K$5*(100-J22))/(100-K$7),I22*K$5/(K$8*K$7*0.01)))</f>
        <v>9</v>
      </c>
      <c r="L22" s="96">
        <v>45</v>
      </c>
      <c r="M22" s="12">
        <f t="shared" ref="M22" si="36">IF(L22="","",L22/N$8*100)</f>
        <v>45</v>
      </c>
      <c r="N22" s="11">
        <f t="shared" ref="N22" si="37">IF(M22="","",IF(M22&gt;N$7,(N$6*(M22-N$7)+N$5*(100-M22))/(100-N$7),L22*N$5/(N$8*N$7*0.01)))</f>
        <v>7.25</v>
      </c>
      <c r="O22" s="28"/>
      <c r="P22" s="16" t="str">
        <f t="shared" ref="P22" si="38">LEFT(B22,8)&amp;".."</f>
        <v>Student ..</v>
      </c>
      <c r="Q22" s="46">
        <v>55</v>
      </c>
      <c r="R22" s="47">
        <v>7.75</v>
      </c>
      <c r="S22" s="46" t="s">
        <v>116</v>
      </c>
      <c r="T22" s="47" t="s">
        <v>116</v>
      </c>
      <c r="U22" s="46">
        <v>85</v>
      </c>
      <c r="V22" s="47">
        <v>9</v>
      </c>
      <c r="W22" s="46">
        <v>45</v>
      </c>
      <c r="X22" s="47">
        <v>7.25</v>
      </c>
      <c r="Y22" s="101">
        <v>55</v>
      </c>
      <c r="Z22" s="102">
        <v>7.75</v>
      </c>
      <c r="AA22" s="101">
        <v>65</v>
      </c>
      <c r="AB22" s="102">
        <v>8.125</v>
      </c>
      <c r="AC22" s="99">
        <v>61.666666666666664</v>
      </c>
      <c r="AD22" s="100">
        <v>8</v>
      </c>
      <c r="AE22" s="27"/>
      <c r="AF22" s="16" t="str">
        <f t="shared" ref="AF22" si="39">LEFT(B22,8)&amp;".."</f>
        <v>Student ..</v>
      </c>
      <c r="AG22" s="60"/>
      <c r="AH22" s="76"/>
      <c r="AI22" s="77"/>
      <c r="AJ22" s="65"/>
      <c r="AK22" s="76"/>
      <c r="AL22" s="83"/>
      <c r="AM22" s="70"/>
      <c r="AN22" s="15"/>
      <c r="AO22" s="45"/>
      <c r="AP22" s="45"/>
      <c r="AQ22" s="15"/>
    </row>
    <row r="23" spans="1:43" s="95" customFormat="1" ht="17.100000000000001" customHeight="1" x14ac:dyDescent="0.25">
      <c r="A23" s="1">
        <v>14</v>
      </c>
      <c r="B23" s="39" t="s">
        <v>121</v>
      </c>
      <c r="C23" s="96"/>
      <c r="D23" s="12">
        <v>11</v>
      </c>
      <c r="E23" s="11">
        <f t="shared" ref="E23" si="40">IF(D23="","",IF(D23&gt;E$7,(E$6*(D23-E$7)+E$5*(100-D23))/(100-E$7),C23*E$5/(E$8*E$7*0.01)))</f>
        <v>0</v>
      </c>
      <c r="F23" s="96">
        <v>55</v>
      </c>
      <c r="G23" s="12">
        <f t="shared" ref="G23" si="41">IF(F23="","",F23/H$8*100)</f>
        <v>91.666666666666657</v>
      </c>
      <c r="H23" s="11">
        <f t="shared" ref="H23" si="42">IF(G23="","",IF(G23&gt;H$7,(H$6*(G23-H$7)+H$5*(100-G23))/(100-H$7),F23*H$5/(H$8*H$7*0.01)))</f>
        <v>9.5238095238095219</v>
      </c>
      <c r="I23" s="96">
        <v>14</v>
      </c>
      <c r="J23" s="12">
        <f t="shared" ref="J23" si="43">IF(I23="","",I23/K$8*100)</f>
        <v>23.333333333333332</v>
      </c>
      <c r="K23" s="11">
        <f t="shared" ref="K23" si="44">IF(J23="","",IF(J23&gt;K$7,(K$6*(J23-K$7)+K$5*(100-J23))/(100-K$7),I23*K$5/(K$8*K$7*0.01)))</f>
        <v>3.5</v>
      </c>
      <c r="L23" s="96">
        <v>22</v>
      </c>
      <c r="M23" s="12">
        <f t="shared" ref="M23" si="45">IF(L23="","",L23/N$8*100)</f>
        <v>22</v>
      </c>
      <c r="N23" s="11">
        <f t="shared" ref="N23" si="46">IF(M23="","",IF(M23&gt;N$7,(N$6*(M23-N$7)+N$5*(100-M23))/(100-N$7),L23*N$5/(N$8*N$7*0.01)))</f>
        <v>6.1</v>
      </c>
      <c r="O23" s="28"/>
      <c r="P23" s="16" t="str">
        <f t="shared" ref="P23" si="47">LEFT(B23,8)&amp;".."</f>
        <v>Student ..</v>
      </c>
      <c r="Q23" s="46">
        <v>11</v>
      </c>
      <c r="R23" s="47">
        <v>0</v>
      </c>
      <c r="S23" s="46">
        <v>91.666666666666657</v>
      </c>
      <c r="T23" s="47">
        <v>9.5238095238095219</v>
      </c>
      <c r="U23" s="46">
        <v>23.333333333333332</v>
      </c>
      <c r="V23" s="47">
        <v>3.5</v>
      </c>
      <c r="W23" s="46">
        <v>22</v>
      </c>
      <c r="X23" s="47">
        <v>6.1</v>
      </c>
      <c r="Y23" s="101">
        <v>51.333333333333329</v>
      </c>
      <c r="Z23" s="102">
        <v>4.761904761904761</v>
      </c>
      <c r="AA23" s="101">
        <v>22.666666666666664</v>
      </c>
      <c r="AB23" s="102">
        <v>4.8</v>
      </c>
      <c r="AC23" s="99">
        <v>37</v>
      </c>
      <c r="AD23" s="100">
        <v>4.78095238095238</v>
      </c>
      <c r="AE23" s="27"/>
      <c r="AF23" s="16" t="str">
        <f t="shared" ref="AF23" si="48">LEFT(B23,8)&amp;".."</f>
        <v>Student ..</v>
      </c>
      <c r="AG23" s="60"/>
      <c r="AH23" s="76"/>
      <c r="AI23" s="77"/>
      <c r="AJ23" s="65"/>
      <c r="AK23" s="76"/>
      <c r="AL23" s="83"/>
      <c r="AM23" s="70"/>
      <c r="AN23" s="15"/>
      <c r="AO23" s="45"/>
      <c r="AP23" s="45"/>
      <c r="AQ23" s="15"/>
    </row>
    <row r="24" spans="1:43" s="95" customFormat="1" ht="17.100000000000001" customHeight="1" x14ac:dyDescent="0.25">
      <c r="A24" s="1">
        <v>15</v>
      </c>
      <c r="B24" s="39" t="s">
        <v>122</v>
      </c>
      <c r="C24" s="96"/>
      <c r="D24" s="12">
        <v>9</v>
      </c>
      <c r="E24" s="11">
        <f t="shared" ref="E24" si="49">IF(D24="","",IF(D24&gt;E$7,(E$6*(D24-E$7)+E$5*(100-D24))/(100-E$7),C24*E$5/(E$8*E$7*0.01)))</f>
        <v>0</v>
      </c>
      <c r="F24" s="96">
        <v>34</v>
      </c>
      <c r="G24" s="12">
        <f t="shared" ref="G24" si="50">IF(F24="","",F24/H$8*100)</f>
        <v>56.666666666666664</v>
      </c>
      <c r="H24" s="11">
        <f t="shared" ref="H24" si="51">IF(G24="","",IF(G24&gt;H$7,(H$6*(G24-H$7)+H$5*(100-G24))/(100-H$7),F24*H$5/(H$8*H$7*0.01)))</f>
        <v>7.5238095238095228</v>
      </c>
      <c r="I24" s="96">
        <v>22</v>
      </c>
      <c r="J24" s="12">
        <f t="shared" ref="J24" si="52">IF(I24="","",I24/K$8*100)</f>
        <v>36.666666666666664</v>
      </c>
      <c r="K24" s="11">
        <f t="shared" ref="K24" si="53">IF(J24="","",IF(J24&gt;K$7,(K$6*(J24-K$7)+K$5*(100-J24))/(100-K$7),I24*K$5/(K$8*K$7*0.01)))</f>
        <v>5.5</v>
      </c>
      <c r="L24" s="96">
        <v>19</v>
      </c>
      <c r="M24" s="12">
        <f t="shared" ref="M24" si="54">IF(L24="","",L24/N$8*100)</f>
        <v>19</v>
      </c>
      <c r="N24" s="11">
        <f t="shared" ref="N24" si="55">IF(M24="","",IF(M24&gt;N$7,(N$6*(M24-N$7)+N$5*(100-M24))/(100-N$7),L24*N$5/(N$8*N$7*0.01)))</f>
        <v>5.7</v>
      </c>
      <c r="O24" s="28"/>
      <c r="P24" s="16" t="str">
        <f t="shared" ref="P24" si="56">LEFT(B24,8)&amp;".."</f>
        <v>Student ..</v>
      </c>
      <c r="Q24" s="46">
        <v>9</v>
      </c>
      <c r="R24" s="47">
        <v>0</v>
      </c>
      <c r="S24" s="46">
        <v>56.666666666666664</v>
      </c>
      <c r="T24" s="47">
        <v>7.5238095238095228</v>
      </c>
      <c r="U24" s="46">
        <v>36.666666666666664</v>
      </c>
      <c r="V24" s="47">
        <v>5.5</v>
      </c>
      <c r="W24" s="46">
        <v>19</v>
      </c>
      <c r="X24" s="47">
        <v>5.7</v>
      </c>
      <c r="Y24" s="101">
        <v>32.833333333333329</v>
      </c>
      <c r="Z24" s="102">
        <v>3.7619047619047614</v>
      </c>
      <c r="AA24" s="101">
        <v>27.833333333333332</v>
      </c>
      <c r="AB24" s="102">
        <v>5.6</v>
      </c>
      <c r="AC24" s="99">
        <v>30.333333333333329</v>
      </c>
      <c r="AD24" s="100">
        <v>4.6809523809523803</v>
      </c>
      <c r="AE24" s="27"/>
      <c r="AF24" s="16" t="str">
        <f t="shared" ref="AF24" si="57">LEFT(B24,8)&amp;".."</f>
        <v>Student ..</v>
      </c>
      <c r="AG24" s="60"/>
      <c r="AH24" s="76"/>
      <c r="AI24" s="77"/>
      <c r="AJ24" s="65"/>
      <c r="AK24" s="76"/>
      <c r="AL24" s="83"/>
      <c r="AM24" s="70"/>
      <c r="AN24" s="15"/>
      <c r="AO24" s="45"/>
      <c r="AP24" s="45"/>
      <c r="AQ24" s="15"/>
    </row>
    <row r="25" spans="1:43" ht="17.100000000000001" customHeight="1" thickBot="1" x14ac:dyDescent="0.3">
      <c r="A25" s="2"/>
      <c r="B25" s="3" t="s">
        <v>6</v>
      </c>
      <c r="C25" s="31">
        <f ca="1">IF(countAverageJP(C10)=-1,"",countAverageJP(C10))</f>
        <v>23.5</v>
      </c>
      <c r="D25" s="33">
        <f ca="1">IF(countAverageJP(D10)=-1,"",countAverageJP(D10))</f>
        <v>31.58241758241758</v>
      </c>
      <c r="E25" s="32">
        <f ca="1">IF(countAverageJP(E10)=-1,"",countAverageJP(E10))</f>
        <v>4.6890109890109892</v>
      </c>
      <c r="F25" s="31">
        <f ca="1">IF(countAverageJP(F10)=-1,"",countAverageJP(F10))</f>
        <v>22.636363636363637</v>
      </c>
      <c r="G25" s="33">
        <f ca="1">IF(countAverageJP(G10)=-1,"",countAverageJP(G10))</f>
        <v>37.727272727272734</v>
      </c>
      <c r="H25" s="32">
        <f ca="1">IF(countAverageJP(H10)=-1,"",countAverageJP(H10))</f>
        <v>4.991341991341991</v>
      </c>
      <c r="I25" s="31">
        <f ca="1">IF(countAverageJP(I10)=-1,"",countAverageJP(I10))</f>
        <v>32.153846153846153</v>
      </c>
      <c r="J25" s="33">
        <f ca="1">IF(countAverageJP(J10)=-1,"",countAverageJP(J10))</f>
        <v>53.589743589743584</v>
      </c>
      <c r="K25" s="32">
        <f ca="1">IF(countAverageJP(K10)=-1,"",countAverageJP(K10))</f>
        <v>6.2970085470085468</v>
      </c>
      <c r="L25" s="31">
        <f ca="1">IF(countAverageJP(L10)=-1,"",countAverageJP(L10))</f>
        <v>44.307692307692307</v>
      </c>
      <c r="M25" s="33">
        <f ca="1">IF(countAverageJP(M10)=-1,"",countAverageJP(M10))</f>
        <v>44.307692307692307</v>
      </c>
      <c r="N25" s="32">
        <f ca="1">IF(countAverageJP(N10)=-1,"",countAverageJP(N10))</f>
        <v>6.523076923076923</v>
      </c>
      <c r="O25" s="28"/>
      <c r="P25" s="15"/>
      <c r="Q25" s="35">
        <v>31.58241758241758</v>
      </c>
      <c r="R25" s="36">
        <v>4.6890109890109892</v>
      </c>
      <c r="S25" s="35">
        <v>37.727272727272734</v>
      </c>
      <c r="T25" s="36">
        <v>4.991341991341991</v>
      </c>
      <c r="U25" s="35">
        <v>53.589743589743584</v>
      </c>
      <c r="V25" s="36">
        <v>6.2970085470085468</v>
      </c>
      <c r="W25" s="35">
        <v>44.307692307692307</v>
      </c>
      <c r="X25" s="36">
        <v>6.523076923076923</v>
      </c>
      <c r="Y25" s="35">
        <v>36.678571428571431</v>
      </c>
      <c r="Z25" s="36">
        <v>5.0460884353741493</v>
      </c>
      <c r="AA25" s="35">
        <v>48.948717948717942</v>
      </c>
      <c r="AB25" s="36">
        <v>6.4100427350427349</v>
      </c>
      <c r="AC25" s="35">
        <v>41.379818594104314</v>
      </c>
      <c r="AD25" s="36">
        <v>5.5082860922146635</v>
      </c>
      <c r="AE25" s="27"/>
      <c r="AF25" s="15"/>
      <c r="AG25" s="61" t="str">
        <f ca="1">IF(countAverageJP(AG10)=-1,"",countAverageJP(AG10))</f>
        <v/>
      </c>
      <c r="AH25" s="78" t="str">
        <f ca="1">IF(countAverageJP(AH10)=-1,"",countAverageJP(AH10))</f>
        <v/>
      </c>
      <c r="AI25" s="79" t="str">
        <f ca="1">IF(countAverageJP(AI10)=-1,"",countAverageJP(AI10))</f>
        <v/>
      </c>
      <c r="AJ25" s="66" t="str">
        <f ca="1">IF(countAverageJP(AJ10)=-1,"",countAverageJP(AJ10))</f>
        <v/>
      </c>
      <c r="AK25" s="78" t="str">
        <f ca="1">IF(countAverageJP(AK10)=-1,"",countAverageJP(AK10))</f>
        <v/>
      </c>
      <c r="AL25" s="79" t="str">
        <f ca="1">IF(countAverageJP(AL10)=-1,"",countAverageJP(AL10))</f>
        <v/>
      </c>
      <c r="AM25" s="71" t="str">
        <f ca="1">IF(countAverageJP(AM10)=-1,"",countAverageJP(AM10))</f>
        <v/>
      </c>
      <c r="AN25" s="15"/>
      <c r="AO25" s="14" t="str">
        <f ca="1">IF(countAverageJP(AO10)=-1,"",countAverageJP(AO10))</f>
        <v/>
      </c>
      <c r="AP25" s="14" t="str">
        <f ca="1">IF(countAverageJP(AP10)=-1,"",countAverageJP(AP10))</f>
        <v/>
      </c>
      <c r="AQ25" s="15"/>
    </row>
    <row r="26" spans="1:43" x14ac:dyDescent="0.25">
      <c r="A26" s="18"/>
      <c r="B26" s="19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</row>
    <row r="27" spans="1:43" x14ac:dyDescent="0.25">
      <c r="A27" s="21" t="s">
        <v>13</v>
      </c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</row>
    <row r="28" spans="1:43" x14ac:dyDescent="0.25">
      <c r="A28" s="22" t="s">
        <v>37</v>
      </c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38" t="s">
        <v>40</v>
      </c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</row>
    <row r="29" spans="1:43" x14ac:dyDescent="0.25">
      <c r="A29" s="22" t="s">
        <v>38</v>
      </c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</row>
    <row r="30" spans="1:43" x14ac:dyDescent="0.25">
      <c r="A30" s="22" t="s">
        <v>39</v>
      </c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 t="s">
        <v>43</v>
      </c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</row>
    <row r="31" spans="1:43" x14ac:dyDescent="0.25">
      <c r="A31" s="22" t="s">
        <v>11</v>
      </c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</row>
    <row r="32" spans="1:43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</row>
    <row r="33" spans="1:2" x14ac:dyDescent="0.25">
      <c r="A33" s="48"/>
    </row>
    <row r="35" spans="1:2" x14ac:dyDescent="0.25">
      <c r="B35" s="29"/>
    </row>
    <row r="36" spans="1:2" x14ac:dyDescent="0.25">
      <c r="B36" s="29"/>
    </row>
    <row r="37" spans="1:2" x14ac:dyDescent="0.25">
      <c r="B37" s="30"/>
    </row>
    <row r="38" spans="1:2" x14ac:dyDescent="0.25">
      <c r="B38" s="30"/>
    </row>
    <row r="39" spans="1:2" x14ac:dyDescent="0.25">
      <c r="B39" s="30"/>
    </row>
    <row r="40" spans="1:2" x14ac:dyDescent="0.25">
      <c r="B40" s="30"/>
    </row>
  </sheetData>
  <sheetProtection formatCells="0" formatColumns="0" formatRows="0" insertColumns="0" insertRows="0" deleteColumns="0" deleteRows="0" sort="0"/>
  <mergeCells count="45">
    <mergeCell ref="L1:M1"/>
    <mergeCell ref="L4:M4"/>
    <mergeCell ref="L5:M5"/>
    <mergeCell ref="L6:M6"/>
    <mergeCell ref="L7:M7"/>
    <mergeCell ref="L8:M8"/>
    <mergeCell ref="I7:J7"/>
    <mergeCell ref="I8:J8"/>
    <mergeCell ref="F6:G6"/>
    <mergeCell ref="S5:T5"/>
    <mergeCell ref="C5:D5"/>
    <mergeCell ref="C1:D1"/>
    <mergeCell ref="Q2:T3"/>
    <mergeCell ref="F1:G1"/>
    <mergeCell ref="F4:G4"/>
    <mergeCell ref="F5:G5"/>
    <mergeCell ref="Q5:R5"/>
    <mergeCell ref="C4:D4"/>
    <mergeCell ref="I1:J1"/>
    <mergeCell ref="I4:J4"/>
    <mergeCell ref="I5:J5"/>
    <mergeCell ref="I6:J6"/>
    <mergeCell ref="V2:Y3"/>
    <mergeCell ref="AC5:AD5"/>
    <mergeCell ref="AA5:AB5"/>
    <mergeCell ref="U5:V5"/>
    <mergeCell ref="W5:X5"/>
    <mergeCell ref="Y5:Z5"/>
    <mergeCell ref="AA2:AD3"/>
    <mergeCell ref="AP8:AP9"/>
    <mergeCell ref="C8:D8"/>
    <mergeCell ref="C7:D7"/>
    <mergeCell ref="Q6:R8"/>
    <mergeCell ref="S6:T8"/>
    <mergeCell ref="U6:V8"/>
    <mergeCell ref="W6:X8"/>
    <mergeCell ref="Y6:Z8"/>
    <mergeCell ref="AH8:AI8"/>
    <mergeCell ref="AK8:AL8"/>
    <mergeCell ref="AA6:AB8"/>
    <mergeCell ref="AC6:AD8"/>
    <mergeCell ref="AO8:AO9"/>
    <mergeCell ref="F8:G8"/>
    <mergeCell ref="F7:G7"/>
    <mergeCell ref="C6:D6"/>
  </mergeCells>
  <conditionalFormatting sqref="E10:E24">
    <cfRule type="cellIs" dxfId="71" priority="2437" stopIfTrue="1" operator="greaterThanOrEqual">
      <formula>E$6-0.15*E$6</formula>
    </cfRule>
    <cfRule type="cellIs" dxfId="70" priority="2438" operator="lessThan">
      <formula>E$5</formula>
    </cfRule>
  </conditionalFormatting>
  <conditionalFormatting sqref="E10:E24">
    <cfRule type="containsBlanks" priority="2436" stopIfTrue="1">
      <formula>LEN(TRIM(E10))=0</formula>
    </cfRule>
  </conditionalFormatting>
  <conditionalFormatting sqref="O10:O24">
    <cfRule type="cellIs" dxfId="69" priority="1378" operator="equal">
      <formula>0</formula>
    </cfRule>
  </conditionalFormatting>
  <conditionalFormatting sqref="H10:H24">
    <cfRule type="cellIs" dxfId="62" priority="73" stopIfTrue="1" operator="greaterThanOrEqual">
      <formula>H$6-0.15*H$6</formula>
    </cfRule>
    <cfRule type="cellIs" dxfId="61" priority="74" operator="lessThan">
      <formula>H$5</formula>
    </cfRule>
  </conditionalFormatting>
  <conditionalFormatting sqref="H10:H24">
    <cfRule type="containsBlanks" priority="72" stopIfTrue="1">
      <formula>LEN(TRIM(H10))=0</formula>
    </cfRule>
  </conditionalFormatting>
  <conditionalFormatting sqref="K10:K24">
    <cfRule type="cellIs" dxfId="60" priority="70" stopIfTrue="1" operator="greaterThanOrEqual">
      <formula>K$6-0.15*K$6</formula>
    </cfRule>
    <cfRule type="cellIs" dxfId="59" priority="71" operator="lessThan">
      <formula>K$5</formula>
    </cfRule>
  </conditionalFormatting>
  <conditionalFormatting sqref="K10:K24">
    <cfRule type="containsBlanks" priority="69" stopIfTrue="1">
      <formula>LEN(TRIM(K10))=0</formula>
    </cfRule>
  </conditionalFormatting>
  <conditionalFormatting sqref="N10:N24">
    <cfRule type="cellIs" dxfId="56" priority="67" stopIfTrue="1" operator="greaterThanOrEqual">
      <formula>N$6-0.15*N$6</formula>
    </cfRule>
    <cfRule type="cellIs" dxfId="55" priority="68" operator="lessThan">
      <formula>N$5</formula>
    </cfRule>
  </conditionalFormatting>
  <conditionalFormatting sqref="N10:N24">
    <cfRule type="containsBlanks" priority="66" stopIfTrue="1">
      <formula>LEN(TRIM(N10))=0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isaa_uusi_rivi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1</xdr:col>
                    <xdr:colOff>628650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poista_vika_rivi">
                <anchor moveWithCells="1">
                  <from>
                    <xdr:col>1</xdr:col>
                    <xdr:colOff>638175</xdr:colOff>
                    <xdr:row>0</xdr:row>
                    <xdr:rowOff>28575</xdr:rowOff>
                  </from>
                  <to>
                    <xdr:col>1</xdr:col>
                    <xdr:colOff>1647825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delLastEmptyTest">
                <anchor moveWithCells="1">
                  <from>
                    <xdr:col>1</xdr:col>
                    <xdr:colOff>638175</xdr:colOff>
                    <xdr:row>1</xdr:row>
                    <xdr:rowOff>85725</xdr:rowOff>
                  </from>
                  <to>
                    <xdr:col>1</xdr:col>
                    <xdr:colOff>1647825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addTest">
                <anchor moveWithCells="1">
                  <from>
                    <xdr:col>0</xdr:col>
                    <xdr:colOff>28575</xdr:colOff>
                    <xdr:row>1</xdr:row>
                    <xdr:rowOff>85725</xdr:rowOff>
                  </from>
                  <to>
                    <xdr:col>1</xdr:col>
                    <xdr:colOff>628650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'Module3.hideTests(true)'">
                <anchor moveWithCells="1">
                  <from>
                    <xdr:col>0</xdr:col>
                    <xdr:colOff>28575</xdr:colOff>
                    <xdr:row>2</xdr:row>
                    <xdr:rowOff>142875</xdr:rowOff>
                  </from>
                  <to>
                    <xdr:col>1</xdr:col>
                    <xdr:colOff>628650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'Module3.hideTests(false)'">
                <anchor moveWithCells="1">
                  <from>
                    <xdr:col>1</xdr:col>
                    <xdr:colOff>638175</xdr:colOff>
                    <xdr:row>2</xdr:row>
                    <xdr:rowOff>142875</xdr:rowOff>
                  </from>
                  <to>
                    <xdr:col>1</xdr:col>
                    <xdr:colOff>1647825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'Module3.hideAverages(true)'">
                <anchor moveWithCells="1">
                  <from>
                    <xdr:col>0</xdr:col>
                    <xdr:colOff>28575</xdr:colOff>
                    <xdr:row>3</xdr:row>
                    <xdr:rowOff>200025</xdr:rowOff>
                  </from>
                  <to>
                    <xdr:col>1</xdr:col>
                    <xdr:colOff>628650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'Module3.hideAverages(false)'">
                <anchor moveWithCells="1">
                  <from>
                    <xdr:col>1</xdr:col>
                    <xdr:colOff>638175</xdr:colOff>
                    <xdr:row>3</xdr:row>
                    <xdr:rowOff>200025</xdr:rowOff>
                  </from>
                  <to>
                    <xdr:col>1</xdr:col>
                    <xdr:colOff>1647825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ul6"/>
  <dimension ref="A1:G76"/>
  <sheetViews>
    <sheetView workbookViewId="0">
      <pane xSplit="2" topLeftCell="C1" activePane="topRight" state="frozen"/>
      <selection pane="topRight" activeCell="E8" sqref="E8"/>
    </sheetView>
  </sheetViews>
  <sheetFormatPr defaultColWidth="9.140625" defaultRowHeight="15" x14ac:dyDescent="0.25"/>
  <cols>
    <col min="1" max="1" width="6.140625" style="95" customWidth="1"/>
    <col min="2" max="2" width="25.140625" style="95" customWidth="1"/>
    <col min="3" max="3" width="6.28515625" style="95" customWidth="1"/>
    <col min="4" max="4" width="5.85546875" style="95" customWidth="1"/>
    <col min="5" max="5" width="6.7109375" style="95" customWidth="1"/>
    <col min="6" max="6" width="1.140625" style="95" customWidth="1"/>
    <col min="7" max="7" width="10.7109375" style="95" customWidth="1"/>
    <col min="8" max="16384" width="9.140625" style="95"/>
  </cols>
  <sheetData>
    <row r="1" spans="1:7" ht="18" customHeight="1" thickBot="1" x14ac:dyDescent="0.3">
      <c r="A1" s="2"/>
      <c r="B1" s="13"/>
      <c r="C1" s="127" t="s">
        <v>23</v>
      </c>
      <c r="D1" s="128"/>
      <c r="E1" s="6">
        <v>1</v>
      </c>
      <c r="F1" s="15"/>
      <c r="G1" s="15"/>
    </row>
    <row r="2" spans="1:7" ht="18" customHeight="1" x14ac:dyDescent="0.25">
      <c r="A2" s="2"/>
      <c r="B2" s="13"/>
      <c r="C2" s="7" t="s">
        <v>24</v>
      </c>
      <c r="D2" s="8"/>
      <c r="E2" s="40" t="s">
        <v>25</v>
      </c>
      <c r="F2" s="15"/>
      <c r="G2" s="15"/>
    </row>
    <row r="3" spans="1:7" ht="18" customHeight="1" x14ac:dyDescent="0.25">
      <c r="A3" s="2"/>
      <c r="B3" s="13"/>
      <c r="C3" s="9" t="s">
        <v>22</v>
      </c>
      <c r="D3" s="10"/>
      <c r="E3" s="41">
        <v>100</v>
      </c>
      <c r="F3" s="15"/>
      <c r="G3" s="15"/>
    </row>
    <row r="4" spans="1:7" ht="18" customHeight="1" x14ac:dyDescent="0.25">
      <c r="A4" s="2"/>
      <c r="B4" s="13"/>
      <c r="C4" s="129" t="s">
        <v>12</v>
      </c>
      <c r="D4" s="130"/>
      <c r="E4" s="42">
        <v>1</v>
      </c>
      <c r="F4" s="15"/>
      <c r="G4" s="15"/>
    </row>
    <row r="5" spans="1:7" ht="18" customHeight="1" x14ac:dyDescent="0.25">
      <c r="A5" s="2"/>
      <c r="B5" s="13"/>
      <c r="C5" s="107" t="s">
        <v>9</v>
      </c>
      <c r="D5" s="108"/>
      <c r="E5" s="43">
        <v>5</v>
      </c>
      <c r="F5" s="15"/>
      <c r="G5" s="15"/>
    </row>
    <row r="6" spans="1:7" ht="18" customHeight="1" x14ac:dyDescent="0.25">
      <c r="A6" s="2"/>
      <c r="B6" s="13"/>
      <c r="C6" s="107" t="s">
        <v>10</v>
      </c>
      <c r="D6" s="108"/>
      <c r="E6" s="43">
        <v>10</v>
      </c>
      <c r="F6" s="15"/>
      <c r="G6" s="15"/>
    </row>
    <row r="7" spans="1:7" ht="18" customHeight="1" x14ac:dyDescent="0.25">
      <c r="A7" s="5"/>
      <c r="B7" s="4" t="s">
        <v>0</v>
      </c>
      <c r="C7" s="107" t="s">
        <v>8</v>
      </c>
      <c r="D7" s="108"/>
      <c r="E7" s="43">
        <v>70</v>
      </c>
      <c r="F7" s="28"/>
      <c r="G7" s="15"/>
    </row>
    <row r="8" spans="1:7" ht="18" customHeight="1" thickBot="1" x14ac:dyDescent="0.3">
      <c r="A8" s="5"/>
      <c r="B8" s="49" t="s">
        <v>76</v>
      </c>
      <c r="C8" s="105" t="s">
        <v>7</v>
      </c>
      <c r="D8" s="106"/>
      <c r="E8" s="44">
        <v>50</v>
      </c>
      <c r="F8" s="28"/>
      <c r="G8" s="15"/>
    </row>
    <row r="9" spans="1:7" ht="25.5" x14ac:dyDescent="0.3">
      <c r="A9" s="50" t="s">
        <v>1</v>
      </c>
      <c r="B9" s="51" t="s">
        <v>2</v>
      </c>
      <c r="C9" s="52" t="s">
        <v>3</v>
      </c>
      <c r="D9" s="53" t="s">
        <v>4</v>
      </c>
      <c r="E9" s="54" t="s">
        <v>5</v>
      </c>
      <c r="F9" s="28"/>
      <c r="G9" s="15"/>
    </row>
    <row r="10" spans="1:7" ht="17.100000000000001" customHeight="1" x14ac:dyDescent="0.25">
      <c r="A10" s="1">
        <v>1</v>
      </c>
      <c r="B10" s="39" t="s">
        <v>103</v>
      </c>
      <c r="C10" s="98">
        <v>0</v>
      </c>
      <c r="D10" s="12">
        <f>IF(C10="","",C10/E$8*100)</f>
        <v>0</v>
      </c>
      <c r="E10" s="11">
        <f>IF(D10="","",IF(D10&gt;E$7,(E$6*(D10-E$7)+E$5*(100-D10))/(100-E$7),C10*E$5/(E$8*E$7*0.01)))</f>
        <v>0</v>
      </c>
      <c r="F10" s="28"/>
      <c r="G10" s="16" t="str">
        <f t="shared" ref="G10:G16" si="0">LEFT(B10,8)&amp;".."</f>
        <v>rtyrt..</v>
      </c>
    </row>
    <row r="11" spans="1:7" ht="17.100000000000001" customHeight="1" x14ac:dyDescent="0.25">
      <c r="A11" s="1">
        <v>2</v>
      </c>
      <c r="B11" s="39"/>
      <c r="C11" s="98">
        <v>1</v>
      </c>
      <c r="D11" s="12">
        <f t="shared" ref="D11:D16" si="1">IF(C11="","",C11/E$8*100)</f>
        <v>2</v>
      </c>
      <c r="E11" s="11">
        <f>IF(D11="","",IF(D11&gt;E$7,(E$6*(D11-E$7)+E$5*(100-D11))/(100-E$7),C11*E$5/(E$8*E$7*0.01)))</f>
        <v>0.14285714285714285</v>
      </c>
      <c r="F11" s="28"/>
      <c r="G11" s="16" t="str">
        <f t="shared" si="0"/>
        <v>..</v>
      </c>
    </row>
    <row r="12" spans="1:7" ht="17.100000000000001" customHeight="1" x14ac:dyDescent="0.25">
      <c r="A12" s="1">
        <v>3</v>
      </c>
      <c r="B12" s="39"/>
      <c r="C12" s="98">
        <v>2</v>
      </c>
      <c r="D12" s="12">
        <f t="shared" si="1"/>
        <v>4</v>
      </c>
      <c r="E12" s="11">
        <f t="shared" ref="E12:E16" si="2">IF(D12="","",IF(D12&gt;E$7,(E$6*(D12-E$7)+E$5*(100-D12))/(100-E$7),C12*E$5/(E$8*E$7*0.01)))</f>
        <v>0.2857142857142857</v>
      </c>
      <c r="F12" s="28"/>
      <c r="G12" s="16" t="str">
        <f t="shared" si="0"/>
        <v>..</v>
      </c>
    </row>
    <row r="13" spans="1:7" ht="17.100000000000001" customHeight="1" x14ac:dyDescent="0.25">
      <c r="A13" s="1">
        <v>4</v>
      </c>
      <c r="B13" s="39"/>
      <c r="C13" s="98">
        <v>3</v>
      </c>
      <c r="D13" s="12">
        <f t="shared" si="1"/>
        <v>6</v>
      </c>
      <c r="E13" s="11">
        <f t="shared" si="2"/>
        <v>0.42857142857142855</v>
      </c>
      <c r="F13" s="28"/>
      <c r="G13" s="16" t="str">
        <f t="shared" si="0"/>
        <v>..</v>
      </c>
    </row>
    <row r="14" spans="1:7" ht="17.100000000000001" customHeight="1" x14ac:dyDescent="0.25">
      <c r="A14" s="1">
        <v>5</v>
      </c>
      <c r="B14" s="39"/>
      <c r="C14" s="98">
        <v>4</v>
      </c>
      <c r="D14" s="12">
        <f t="shared" si="1"/>
        <v>8</v>
      </c>
      <c r="E14" s="11">
        <f t="shared" si="2"/>
        <v>0.5714285714285714</v>
      </c>
      <c r="F14" s="28"/>
      <c r="G14" s="16" t="str">
        <f t="shared" si="0"/>
        <v>..</v>
      </c>
    </row>
    <row r="15" spans="1:7" ht="17.100000000000001" customHeight="1" x14ac:dyDescent="0.25">
      <c r="A15" s="1">
        <v>6</v>
      </c>
      <c r="B15" s="39"/>
      <c r="C15" s="98">
        <v>5</v>
      </c>
      <c r="D15" s="12">
        <f t="shared" si="1"/>
        <v>10</v>
      </c>
      <c r="E15" s="11">
        <f t="shared" si="2"/>
        <v>0.7142857142857143</v>
      </c>
      <c r="F15" s="28"/>
      <c r="G15" s="16" t="str">
        <f t="shared" si="0"/>
        <v>..</v>
      </c>
    </row>
    <row r="16" spans="1:7" ht="17.100000000000001" customHeight="1" x14ac:dyDescent="0.25">
      <c r="A16" s="1">
        <v>7</v>
      </c>
      <c r="B16" s="39"/>
      <c r="C16" s="98">
        <v>6</v>
      </c>
      <c r="D16" s="12">
        <f t="shared" si="1"/>
        <v>12</v>
      </c>
      <c r="E16" s="11">
        <f t="shared" si="2"/>
        <v>0.8571428571428571</v>
      </c>
      <c r="F16" s="28"/>
      <c r="G16" s="16" t="str">
        <f t="shared" si="0"/>
        <v>..</v>
      </c>
    </row>
    <row r="17" spans="1:7" ht="17.100000000000001" customHeight="1" x14ac:dyDescent="0.25">
      <c r="A17" s="1">
        <v>8</v>
      </c>
      <c r="B17" s="39"/>
      <c r="C17" s="98">
        <v>7</v>
      </c>
      <c r="D17" s="12">
        <f t="shared" ref="D17" si="3">IF(C17="","",C17/E$8*100)</f>
        <v>14.000000000000002</v>
      </c>
      <c r="E17" s="11">
        <f t="shared" ref="E17" si="4">IF(D17="","",IF(D17&gt;E$7,(E$6*(D17-E$7)+E$5*(100-D17))/(100-E$7),C17*E$5/(E$8*E$7*0.01)))</f>
        <v>1</v>
      </c>
      <c r="F17" s="28"/>
      <c r="G17" s="16" t="str">
        <f t="shared" ref="G17" si="5">LEFT(B17,8)&amp;".."</f>
        <v>..</v>
      </c>
    </row>
    <row r="18" spans="1:7" ht="17.100000000000001" customHeight="1" x14ac:dyDescent="0.25">
      <c r="A18" s="1">
        <v>9</v>
      </c>
      <c r="B18" s="39"/>
      <c r="C18" s="98">
        <v>8</v>
      </c>
      <c r="D18" s="12">
        <f t="shared" ref="D18" si="6">IF(C18="","",C18/E$8*100)</f>
        <v>16</v>
      </c>
      <c r="E18" s="11">
        <f t="shared" ref="E18" si="7">IF(D18="","",IF(D18&gt;E$7,(E$6*(D18-E$7)+E$5*(100-D18))/(100-E$7),C18*E$5/(E$8*E$7*0.01)))</f>
        <v>1.1428571428571428</v>
      </c>
      <c r="F18" s="28"/>
      <c r="G18" s="16" t="str">
        <f t="shared" ref="G18" si="8">LEFT(B18,8)&amp;".."</f>
        <v>..</v>
      </c>
    </row>
    <row r="19" spans="1:7" ht="17.100000000000001" customHeight="1" x14ac:dyDescent="0.25">
      <c r="A19" s="1">
        <v>10</v>
      </c>
      <c r="B19" s="39"/>
      <c r="C19" s="98">
        <v>9</v>
      </c>
      <c r="D19" s="12">
        <f t="shared" ref="D19" si="9">IF(C19="","",C19/E$8*100)</f>
        <v>18</v>
      </c>
      <c r="E19" s="11">
        <f t="shared" ref="E19" si="10">IF(D19="","",IF(D19&gt;E$7,(E$6*(D19-E$7)+E$5*(100-D19))/(100-E$7),C19*E$5/(E$8*E$7*0.01)))</f>
        <v>1.2857142857142858</v>
      </c>
      <c r="F19" s="28"/>
      <c r="G19" s="16" t="str">
        <f t="shared" ref="G19" si="11">LEFT(B19,8)&amp;".."</f>
        <v>..</v>
      </c>
    </row>
    <row r="20" spans="1:7" ht="17.100000000000001" customHeight="1" x14ac:dyDescent="0.25">
      <c r="A20" s="1">
        <v>11</v>
      </c>
      <c r="B20" s="39"/>
      <c r="C20" s="98">
        <v>10</v>
      </c>
      <c r="D20" s="12">
        <f t="shared" ref="D20" si="12">IF(C20="","",C20/E$8*100)</f>
        <v>20</v>
      </c>
      <c r="E20" s="11">
        <f t="shared" ref="E20" si="13">IF(D20="","",IF(D20&gt;E$7,(E$6*(D20-E$7)+E$5*(100-D20))/(100-E$7),C20*E$5/(E$8*E$7*0.01)))</f>
        <v>1.4285714285714286</v>
      </c>
      <c r="F20" s="28"/>
      <c r="G20" s="16" t="str">
        <f t="shared" ref="G20" si="14">LEFT(B20,8)&amp;".."</f>
        <v>..</v>
      </c>
    </row>
    <row r="21" spans="1:7" ht="17.100000000000001" customHeight="1" x14ac:dyDescent="0.25">
      <c r="A21" s="1">
        <v>12</v>
      </c>
      <c r="B21" s="39"/>
      <c r="C21" s="98">
        <v>11</v>
      </c>
      <c r="D21" s="12">
        <f t="shared" ref="D21" si="15">IF(C21="","",C21/E$8*100)</f>
        <v>22</v>
      </c>
      <c r="E21" s="11">
        <f t="shared" ref="E21" si="16">IF(D21="","",IF(D21&gt;E$7,(E$6*(D21-E$7)+E$5*(100-D21))/(100-E$7),C21*E$5/(E$8*E$7*0.01)))</f>
        <v>1.5714285714285714</v>
      </c>
      <c r="F21" s="28"/>
      <c r="G21" s="16" t="str">
        <f t="shared" ref="G21" si="17">LEFT(B21,8)&amp;".."</f>
        <v>..</v>
      </c>
    </row>
    <row r="22" spans="1:7" ht="17.100000000000001" customHeight="1" x14ac:dyDescent="0.25">
      <c r="A22" s="1">
        <v>13</v>
      </c>
      <c r="B22" s="39"/>
      <c r="C22" s="98">
        <v>12</v>
      </c>
      <c r="D22" s="12">
        <f t="shared" ref="D22" si="18">IF(C22="","",C22/E$8*100)</f>
        <v>24</v>
      </c>
      <c r="E22" s="11">
        <f t="shared" ref="E22" si="19">IF(D22="","",IF(D22&gt;E$7,(E$6*(D22-E$7)+E$5*(100-D22))/(100-E$7),C22*E$5/(E$8*E$7*0.01)))</f>
        <v>1.7142857142857142</v>
      </c>
      <c r="F22" s="28"/>
      <c r="G22" s="16" t="str">
        <f t="shared" ref="G22" si="20">LEFT(B22,8)&amp;".."</f>
        <v>..</v>
      </c>
    </row>
    <row r="23" spans="1:7" ht="17.100000000000001" customHeight="1" x14ac:dyDescent="0.25">
      <c r="A23" s="1">
        <v>14</v>
      </c>
      <c r="B23" s="39"/>
      <c r="C23" s="98">
        <v>13</v>
      </c>
      <c r="D23" s="12">
        <f t="shared" ref="D23" si="21">IF(C23="","",C23/E$8*100)</f>
        <v>26</v>
      </c>
      <c r="E23" s="11">
        <f t="shared" ref="E23" si="22">IF(D23="","",IF(D23&gt;E$7,(E$6*(D23-E$7)+E$5*(100-D23))/(100-E$7),C23*E$5/(E$8*E$7*0.01)))</f>
        <v>1.8571428571428572</v>
      </c>
      <c r="F23" s="28"/>
      <c r="G23" s="16" t="str">
        <f t="shared" ref="G23" si="23">LEFT(B23,8)&amp;".."</f>
        <v>..</v>
      </c>
    </row>
    <row r="24" spans="1:7" ht="17.100000000000001" customHeight="1" x14ac:dyDescent="0.25">
      <c r="A24" s="1">
        <v>15</v>
      </c>
      <c r="B24" s="39"/>
      <c r="C24" s="98">
        <v>14</v>
      </c>
      <c r="D24" s="12">
        <f t="shared" ref="D24" si="24">IF(C24="","",C24/E$8*100)</f>
        <v>28.000000000000004</v>
      </c>
      <c r="E24" s="11">
        <f t="shared" ref="E24" si="25">IF(D24="","",IF(D24&gt;E$7,(E$6*(D24-E$7)+E$5*(100-D24))/(100-E$7),C24*E$5/(E$8*E$7*0.01)))</f>
        <v>2</v>
      </c>
      <c r="F24" s="28"/>
      <c r="G24" s="16" t="str">
        <f t="shared" ref="G24" si="26">LEFT(B24,8)&amp;".."</f>
        <v>..</v>
      </c>
    </row>
    <row r="25" spans="1:7" ht="17.100000000000001" customHeight="1" x14ac:dyDescent="0.25">
      <c r="A25" s="1">
        <v>16</v>
      </c>
      <c r="B25" s="39"/>
      <c r="C25" s="98">
        <v>15</v>
      </c>
      <c r="D25" s="12">
        <f t="shared" ref="D25" si="27">IF(C25="","",C25/E$8*100)</f>
        <v>30</v>
      </c>
      <c r="E25" s="11">
        <f t="shared" ref="E25" si="28">IF(D25="","",IF(D25&gt;E$7,(E$6*(D25-E$7)+E$5*(100-D25))/(100-E$7),C25*E$5/(E$8*E$7*0.01)))</f>
        <v>2.1428571428571428</v>
      </c>
      <c r="F25" s="28"/>
      <c r="G25" s="16" t="str">
        <f t="shared" ref="G25" si="29">LEFT(B25,8)&amp;".."</f>
        <v>..</v>
      </c>
    </row>
    <row r="26" spans="1:7" ht="17.100000000000001" customHeight="1" x14ac:dyDescent="0.25">
      <c r="A26" s="1">
        <v>17</v>
      </c>
      <c r="B26" s="39"/>
      <c r="C26" s="98">
        <v>16</v>
      </c>
      <c r="D26" s="12">
        <f t="shared" ref="D26" si="30">IF(C26="","",C26/E$8*100)</f>
        <v>32</v>
      </c>
      <c r="E26" s="11">
        <f t="shared" ref="E26" si="31">IF(D26="","",IF(D26&gt;E$7,(E$6*(D26-E$7)+E$5*(100-D26))/(100-E$7),C26*E$5/(E$8*E$7*0.01)))</f>
        <v>2.2857142857142856</v>
      </c>
      <c r="F26" s="28"/>
      <c r="G26" s="16" t="str">
        <f t="shared" ref="G26" si="32">LEFT(B26,8)&amp;".."</f>
        <v>..</v>
      </c>
    </row>
    <row r="27" spans="1:7" ht="17.100000000000001" customHeight="1" x14ac:dyDescent="0.25">
      <c r="A27" s="1">
        <v>18</v>
      </c>
      <c r="B27" s="39"/>
      <c r="C27" s="98">
        <v>17</v>
      </c>
      <c r="D27" s="12">
        <f t="shared" ref="D27" si="33">IF(C27="","",C27/E$8*100)</f>
        <v>34</v>
      </c>
      <c r="E27" s="11">
        <f t="shared" ref="E27" si="34">IF(D27="","",IF(D27&gt;E$7,(E$6*(D27-E$7)+E$5*(100-D27))/(100-E$7),C27*E$5/(E$8*E$7*0.01)))</f>
        <v>2.4285714285714284</v>
      </c>
      <c r="F27" s="28"/>
      <c r="G27" s="16" t="str">
        <f t="shared" ref="G27" si="35">LEFT(B27,8)&amp;".."</f>
        <v>..</v>
      </c>
    </row>
    <row r="28" spans="1:7" ht="17.100000000000001" customHeight="1" x14ac:dyDescent="0.25">
      <c r="A28" s="1">
        <v>19</v>
      </c>
      <c r="B28" s="39"/>
      <c r="C28" s="98">
        <v>18</v>
      </c>
      <c r="D28" s="12">
        <f t="shared" ref="D28" si="36">IF(C28="","",C28/E$8*100)</f>
        <v>36</v>
      </c>
      <c r="E28" s="11">
        <f t="shared" ref="E28" si="37">IF(D28="","",IF(D28&gt;E$7,(E$6*(D28-E$7)+E$5*(100-D28))/(100-E$7),C28*E$5/(E$8*E$7*0.01)))</f>
        <v>2.5714285714285716</v>
      </c>
      <c r="F28" s="28"/>
      <c r="G28" s="16" t="str">
        <f t="shared" ref="G28" si="38">LEFT(B28,8)&amp;".."</f>
        <v>..</v>
      </c>
    </row>
    <row r="29" spans="1:7" ht="17.100000000000001" customHeight="1" x14ac:dyDescent="0.25">
      <c r="A29" s="1">
        <v>20</v>
      </c>
      <c r="B29" s="39"/>
      <c r="C29" s="98">
        <v>19</v>
      </c>
      <c r="D29" s="12">
        <f t="shared" ref="D29" si="39">IF(C29="","",C29/E$8*100)</f>
        <v>38</v>
      </c>
      <c r="E29" s="11">
        <f t="shared" ref="E29" si="40">IF(D29="","",IF(D29&gt;E$7,(E$6*(D29-E$7)+E$5*(100-D29))/(100-E$7),C29*E$5/(E$8*E$7*0.01)))</f>
        <v>2.7142857142857144</v>
      </c>
      <c r="F29" s="28"/>
      <c r="G29" s="16" t="str">
        <f t="shared" ref="G29" si="41">LEFT(B29,8)&amp;".."</f>
        <v>..</v>
      </c>
    </row>
    <row r="30" spans="1:7" ht="17.100000000000001" customHeight="1" x14ac:dyDescent="0.25">
      <c r="A30" s="1">
        <v>21</v>
      </c>
      <c r="B30" s="39"/>
      <c r="C30" s="98">
        <v>20</v>
      </c>
      <c r="D30" s="12">
        <f t="shared" ref="D30" si="42">IF(C30="","",C30/E$8*100)</f>
        <v>40</v>
      </c>
      <c r="E30" s="11">
        <f t="shared" ref="E30" si="43">IF(D30="","",IF(D30&gt;E$7,(E$6*(D30-E$7)+E$5*(100-D30))/(100-E$7),C30*E$5/(E$8*E$7*0.01)))</f>
        <v>2.8571428571428572</v>
      </c>
      <c r="F30" s="28"/>
      <c r="G30" s="16" t="str">
        <f t="shared" ref="G30" si="44">LEFT(B30,8)&amp;".."</f>
        <v>..</v>
      </c>
    </row>
    <row r="31" spans="1:7" ht="17.100000000000001" customHeight="1" x14ac:dyDescent="0.25">
      <c r="A31" s="1">
        <v>22</v>
      </c>
      <c r="B31" s="39"/>
      <c r="C31" s="98">
        <v>21</v>
      </c>
      <c r="D31" s="12">
        <f t="shared" ref="D31" si="45">IF(C31="","",C31/E$8*100)</f>
        <v>42</v>
      </c>
      <c r="E31" s="11">
        <f t="shared" ref="E31" si="46">IF(D31="","",IF(D31&gt;E$7,(E$6*(D31-E$7)+E$5*(100-D31))/(100-E$7),C31*E$5/(E$8*E$7*0.01)))</f>
        <v>3</v>
      </c>
      <c r="F31" s="28"/>
      <c r="G31" s="16" t="str">
        <f t="shared" ref="G31" si="47">LEFT(B31,8)&amp;".."</f>
        <v>..</v>
      </c>
    </row>
    <row r="32" spans="1:7" ht="17.100000000000001" customHeight="1" x14ac:dyDescent="0.25">
      <c r="A32" s="1">
        <v>23</v>
      </c>
      <c r="B32" s="39"/>
      <c r="C32" s="98">
        <v>22</v>
      </c>
      <c r="D32" s="12">
        <f t="shared" ref="D32" si="48">IF(C32="","",C32/E$8*100)</f>
        <v>44</v>
      </c>
      <c r="E32" s="11">
        <f t="shared" ref="E32" si="49">IF(D32="","",IF(D32&gt;E$7,(E$6*(D32-E$7)+E$5*(100-D32))/(100-E$7),C32*E$5/(E$8*E$7*0.01)))</f>
        <v>3.1428571428571428</v>
      </c>
      <c r="F32" s="28"/>
      <c r="G32" s="16" t="str">
        <f t="shared" ref="G32" si="50">LEFT(B32,8)&amp;".."</f>
        <v>..</v>
      </c>
    </row>
    <row r="33" spans="1:7" ht="17.100000000000001" customHeight="1" x14ac:dyDescent="0.25">
      <c r="A33" s="1">
        <v>24</v>
      </c>
      <c r="B33" s="39"/>
      <c r="C33" s="98">
        <v>23</v>
      </c>
      <c r="D33" s="12">
        <f t="shared" ref="D33" si="51">IF(C33="","",C33/E$8*100)</f>
        <v>46</v>
      </c>
      <c r="E33" s="11">
        <f t="shared" ref="E33" si="52">IF(D33="","",IF(D33&gt;E$7,(E$6*(D33-E$7)+E$5*(100-D33))/(100-E$7),C33*E$5/(E$8*E$7*0.01)))</f>
        <v>3.2857142857142856</v>
      </c>
      <c r="F33" s="28"/>
      <c r="G33" s="16" t="str">
        <f t="shared" ref="G33" si="53">LEFT(B33,8)&amp;".."</f>
        <v>..</v>
      </c>
    </row>
    <row r="34" spans="1:7" ht="17.100000000000001" customHeight="1" x14ac:dyDescent="0.25">
      <c r="A34" s="1">
        <v>25</v>
      </c>
      <c r="B34" s="39"/>
      <c r="C34" s="98">
        <v>24</v>
      </c>
      <c r="D34" s="12">
        <f t="shared" ref="D34" si="54">IF(C34="","",C34/E$8*100)</f>
        <v>48</v>
      </c>
      <c r="E34" s="11">
        <f t="shared" ref="E34" si="55">IF(D34="","",IF(D34&gt;E$7,(E$6*(D34-E$7)+E$5*(100-D34))/(100-E$7),C34*E$5/(E$8*E$7*0.01)))</f>
        <v>3.4285714285714284</v>
      </c>
      <c r="F34" s="28"/>
      <c r="G34" s="16" t="str">
        <f t="shared" ref="G34" si="56">LEFT(B34,8)&amp;".."</f>
        <v>..</v>
      </c>
    </row>
    <row r="35" spans="1:7" ht="17.100000000000001" customHeight="1" x14ac:dyDescent="0.25">
      <c r="A35" s="1">
        <v>26</v>
      </c>
      <c r="B35" s="39"/>
      <c r="C35" s="98">
        <v>25</v>
      </c>
      <c r="D35" s="12">
        <f t="shared" ref="D35" si="57">IF(C35="","",C35/E$8*100)</f>
        <v>50</v>
      </c>
      <c r="E35" s="11">
        <f t="shared" ref="E35" si="58">IF(D35="","",IF(D35&gt;E$7,(E$6*(D35-E$7)+E$5*(100-D35))/(100-E$7),C35*E$5/(E$8*E$7*0.01)))</f>
        <v>3.5714285714285716</v>
      </c>
      <c r="F35" s="28"/>
      <c r="G35" s="16" t="str">
        <f t="shared" ref="G35" si="59">LEFT(B35,8)&amp;".."</f>
        <v>..</v>
      </c>
    </row>
    <row r="36" spans="1:7" ht="17.100000000000001" customHeight="1" x14ac:dyDescent="0.25">
      <c r="A36" s="1">
        <v>27</v>
      </c>
      <c r="B36" s="39"/>
      <c r="C36" s="98">
        <v>26</v>
      </c>
      <c r="D36" s="12">
        <f t="shared" ref="D36" si="60">IF(C36="","",C36/E$8*100)</f>
        <v>52</v>
      </c>
      <c r="E36" s="11">
        <f t="shared" ref="E36" si="61">IF(D36="","",IF(D36&gt;E$7,(E$6*(D36-E$7)+E$5*(100-D36))/(100-E$7),C36*E$5/(E$8*E$7*0.01)))</f>
        <v>3.7142857142857144</v>
      </c>
      <c r="F36" s="28"/>
      <c r="G36" s="16" t="str">
        <f t="shared" ref="G36" si="62">LEFT(B36,8)&amp;".."</f>
        <v>..</v>
      </c>
    </row>
    <row r="37" spans="1:7" ht="17.100000000000001" customHeight="1" x14ac:dyDescent="0.25">
      <c r="A37" s="1">
        <v>28</v>
      </c>
      <c r="B37" s="39"/>
      <c r="C37" s="98">
        <v>27</v>
      </c>
      <c r="D37" s="12">
        <f t="shared" ref="D37" si="63">IF(C37="","",C37/E$8*100)</f>
        <v>54</v>
      </c>
      <c r="E37" s="11">
        <f t="shared" ref="E37" si="64">IF(D37="","",IF(D37&gt;E$7,(E$6*(D37-E$7)+E$5*(100-D37))/(100-E$7),C37*E$5/(E$8*E$7*0.01)))</f>
        <v>3.8571428571428572</v>
      </c>
      <c r="F37" s="28"/>
      <c r="G37" s="16" t="str">
        <f t="shared" ref="G37" si="65">LEFT(B37,8)&amp;".."</f>
        <v>..</v>
      </c>
    </row>
    <row r="38" spans="1:7" ht="17.100000000000001" customHeight="1" x14ac:dyDescent="0.25">
      <c r="A38" s="1">
        <v>29</v>
      </c>
      <c r="B38" s="39"/>
      <c r="C38" s="98">
        <v>28</v>
      </c>
      <c r="D38" s="12">
        <f t="shared" ref="D38" si="66">IF(C38="","",C38/E$8*100)</f>
        <v>56.000000000000007</v>
      </c>
      <c r="E38" s="11">
        <f t="shared" ref="E38" si="67">IF(D38="","",IF(D38&gt;E$7,(E$6*(D38-E$7)+E$5*(100-D38))/(100-E$7),C38*E$5/(E$8*E$7*0.01)))</f>
        <v>4</v>
      </c>
      <c r="F38" s="28"/>
      <c r="G38" s="16" t="str">
        <f t="shared" ref="G38" si="68">LEFT(B38,8)&amp;".."</f>
        <v>..</v>
      </c>
    </row>
    <row r="39" spans="1:7" ht="17.100000000000001" customHeight="1" x14ac:dyDescent="0.25">
      <c r="A39" s="1">
        <v>30</v>
      </c>
      <c r="B39" s="39"/>
      <c r="C39" s="98">
        <v>29</v>
      </c>
      <c r="D39" s="12">
        <f t="shared" ref="D39" si="69">IF(C39="","",C39/E$8*100)</f>
        <v>57.999999999999993</v>
      </c>
      <c r="E39" s="11">
        <f t="shared" ref="E39" si="70">IF(D39="","",IF(D39&gt;E$7,(E$6*(D39-E$7)+E$5*(100-D39))/(100-E$7),C39*E$5/(E$8*E$7*0.01)))</f>
        <v>4.1428571428571432</v>
      </c>
      <c r="F39" s="28"/>
      <c r="G39" s="16" t="str">
        <f t="shared" ref="G39" si="71">LEFT(B39,8)&amp;".."</f>
        <v>..</v>
      </c>
    </row>
    <row r="40" spans="1:7" ht="17.100000000000001" customHeight="1" x14ac:dyDescent="0.25">
      <c r="A40" s="1">
        <v>31</v>
      </c>
      <c r="B40" s="39"/>
      <c r="C40" s="98">
        <v>30</v>
      </c>
      <c r="D40" s="12">
        <f t="shared" ref="D40:D59" si="72">IF(C40="","",C40/E$8*100)</f>
        <v>60</v>
      </c>
      <c r="E40" s="11">
        <f t="shared" ref="E40:E59" si="73">IF(D40="","",IF(D40&gt;E$7,(E$6*(D40-E$7)+E$5*(100-D40))/(100-E$7),C40*E$5/(E$8*E$7*0.01)))</f>
        <v>4.2857142857142856</v>
      </c>
      <c r="F40" s="28"/>
      <c r="G40" s="16" t="str">
        <f t="shared" ref="G40:G59" si="74">LEFT(B40,8)&amp;".."</f>
        <v>..</v>
      </c>
    </row>
    <row r="41" spans="1:7" ht="17.100000000000001" customHeight="1" x14ac:dyDescent="0.25">
      <c r="A41" s="1">
        <v>32</v>
      </c>
      <c r="B41" s="39"/>
      <c r="C41" s="98">
        <v>31</v>
      </c>
      <c r="D41" s="12">
        <f t="shared" si="72"/>
        <v>62</v>
      </c>
      <c r="E41" s="11">
        <f t="shared" si="73"/>
        <v>4.4285714285714288</v>
      </c>
      <c r="F41" s="28"/>
      <c r="G41" s="16" t="str">
        <f t="shared" si="74"/>
        <v>..</v>
      </c>
    </row>
    <row r="42" spans="1:7" ht="17.100000000000001" customHeight="1" x14ac:dyDescent="0.25">
      <c r="A42" s="1">
        <v>33</v>
      </c>
      <c r="B42" s="39"/>
      <c r="C42" s="98">
        <v>32</v>
      </c>
      <c r="D42" s="12">
        <f t="shared" si="72"/>
        <v>64</v>
      </c>
      <c r="E42" s="11">
        <f t="shared" si="73"/>
        <v>4.5714285714285712</v>
      </c>
      <c r="F42" s="28"/>
      <c r="G42" s="16" t="str">
        <f t="shared" si="74"/>
        <v>..</v>
      </c>
    </row>
    <row r="43" spans="1:7" ht="17.100000000000001" customHeight="1" x14ac:dyDescent="0.25">
      <c r="A43" s="1">
        <v>34</v>
      </c>
      <c r="B43" s="39"/>
      <c r="C43" s="98">
        <v>33</v>
      </c>
      <c r="D43" s="12">
        <f t="shared" si="72"/>
        <v>66</v>
      </c>
      <c r="E43" s="11">
        <f t="shared" si="73"/>
        <v>4.7142857142857144</v>
      </c>
      <c r="F43" s="28"/>
      <c r="G43" s="16" t="str">
        <f t="shared" si="74"/>
        <v>..</v>
      </c>
    </row>
    <row r="44" spans="1:7" ht="17.100000000000001" customHeight="1" x14ac:dyDescent="0.25">
      <c r="A44" s="1">
        <v>35</v>
      </c>
      <c r="B44" s="39"/>
      <c r="C44" s="98">
        <v>34</v>
      </c>
      <c r="D44" s="12">
        <f t="shared" si="72"/>
        <v>68</v>
      </c>
      <c r="E44" s="11">
        <f t="shared" si="73"/>
        <v>4.8571428571428568</v>
      </c>
      <c r="F44" s="28"/>
      <c r="G44" s="16" t="str">
        <f t="shared" si="74"/>
        <v>..</v>
      </c>
    </row>
    <row r="45" spans="1:7" ht="17.100000000000001" customHeight="1" x14ac:dyDescent="0.25">
      <c r="A45" s="1">
        <v>36</v>
      </c>
      <c r="B45" s="39"/>
      <c r="C45" s="98">
        <v>35</v>
      </c>
      <c r="D45" s="12">
        <f t="shared" si="72"/>
        <v>70</v>
      </c>
      <c r="E45" s="11">
        <f t="shared" si="73"/>
        <v>5</v>
      </c>
      <c r="F45" s="28"/>
      <c r="G45" s="16" t="str">
        <f t="shared" si="74"/>
        <v>..</v>
      </c>
    </row>
    <row r="46" spans="1:7" ht="17.100000000000001" customHeight="1" x14ac:dyDescent="0.25">
      <c r="A46" s="1">
        <v>37</v>
      </c>
      <c r="B46" s="39"/>
      <c r="C46" s="98">
        <v>36</v>
      </c>
      <c r="D46" s="12">
        <f t="shared" si="72"/>
        <v>72</v>
      </c>
      <c r="E46" s="11">
        <f t="shared" si="73"/>
        <v>5.333333333333333</v>
      </c>
      <c r="F46" s="28"/>
      <c r="G46" s="16" t="str">
        <f t="shared" si="74"/>
        <v>..</v>
      </c>
    </row>
    <row r="47" spans="1:7" ht="17.100000000000001" customHeight="1" x14ac:dyDescent="0.25">
      <c r="A47" s="1">
        <v>38</v>
      </c>
      <c r="B47" s="39"/>
      <c r="C47" s="98">
        <v>37</v>
      </c>
      <c r="D47" s="12">
        <f t="shared" si="72"/>
        <v>74</v>
      </c>
      <c r="E47" s="11">
        <f t="shared" si="73"/>
        <v>5.666666666666667</v>
      </c>
      <c r="F47" s="28"/>
      <c r="G47" s="16" t="str">
        <f t="shared" si="74"/>
        <v>..</v>
      </c>
    </row>
    <row r="48" spans="1:7" ht="17.100000000000001" customHeight="1" x14ac:dyDescent="0.25">
      <c r="A48" s="1">
        <v>39</v>
      </c>
      <c r="B48" s="39"/>
      <c r="C48" s="98">
        <v>38</v>
      </c>
      <c r="D48" s="12">
        <f t="shared" si="72"/>
        <v>76</v>
      </c>
      <c r="E48" s="11">
        <f t="shared" si="73"/>
        <v>6</v>
      </c>
      <c r="F48" s="28"/>
      <c r="G48" s="16" t="str">
        <f t="shared" si="74"/>
        <v>..</v>
      </c>
    </row>
    <row r="49" spans="1:7" ht="17.100000000000001" customHeight="1" x14ac:dyDescent="0.25">
      <c r="A49" s="1">
        <v>40</v>
      </c>
      <c r="B49" s="39"/>
      <c r="C49" s="98">
        <v>39</v>
      </c>
      <c r="D49" s="12">
        <f t="shared" si="72"/>
        <v>78</v>
      </c>
      <c r="E49" s="11">
        <f t="shared" si="73"/>
        <v>6.333333333333333</v>
      </c>
      <c r="F49" s="28"/>
      <c r="G49" s="16" t="str">
        <f t="shared" si="74"/>
        <v>..</v>
      </c>
    </row>
    <row r="50" spans="1:7" ht="17.100000000000001" customHeight="1" x14ac:dyDescent="0.25">
      <c r="A50" s="1">
        <v>41</v>
      </c>
      <c r="B50" s="39"/>
      <c r="C50" s="98">
        <v>40</v>
      </c>
      <c r="D50" s="12">
        <f t="shared" si="72"/>
        <v>80</v>
      </c>
      <c r="E50" s="11">
        <f t="shared" si="73"/>
        <v>6.666666666666667</v>
      </c>
      <c r="F50" s="28"/>
      <c r="G50" s="16" t="str">
        <f t="shared" si="74"/>
        <v>..</v>
      </c>
    </row>
    <row r="51" spans="1:7" ht="17.100000000000001" customHeight="1" x14ac:dyDescent="0.25">
      <c r="A51" s="1">
        <v>42</v>
      </c>
      <c r="B51" s="39"/>
      <c r="C51" s="98">
        <v>41</v>
      </c>
      <c r="D51" s="12">
        <f t="shared" si="72"/>
        <v>82</v>
      </c>
      <c r="E51" s="11">
        <f t="shared" si="73"/>
        <v>7</v>
      </c>
      <c r="F51" s="28"/>
      <c r="G51" s="16" t="str">
        <f t="shared" si="74"/>
        <v>..</v>
      </c>
    </row>
    <row r="52" spans="1:7" ht="17.100000000000001" customHeight="1" x14ac:dyDescent="0.25">
      <c r="A52" s="1">
        <v>43</v>
      </c>
      <c r="B52" s="39"/>
      <c r="C52" s="98">
        <v>42</v>
      </c>
      <c r="D52" s="12">
        <f t="shared" si="72"/>
        <v>84</v>
      </c>
      <c r="E52" s="11">
        <f t="shared" si="73"/>
        <v>7.333333333333333</v>
      </c>
      <c r="F52" s="28"/>
      <c r="G52" s="16" t="str">
        <f t="shared" si="74"/>
        <v>..</v>
      </c>
    </row>
    <row r="53" spans="1:7" ht="17.100000000000001" customHeight="1" x14ac:dyDescent="0.25">
      <c r="A53" s="1">
        <v>44</v>
      </c>
      <c r="B53" s="39"/>
      <c r="C53" s="98">
        <v>43</v>
      </c>
      <c r="D53" s="12">
        <f t="shared" si="72"/>
        <v>86</v>
      </c>
      <c r="E53" s="11">
        <f t="shared" si="73"/>
        <v>7.666666666666667</v>
      </c>
      <c r="F53" s="28"/>
      <c r="G53" s="16" t="str">
        <f t="shared" si="74"/>
        <v>..</v>
      </c>
    </row>
    <row r="54" spans="1:7" ht="17.100000000000001" customHeight="1" x14ac:dyDescent="0.25">
      <c r="A54" s="1">
        <v>45</v>
      </c>
      <c r="B54" s="39"/>
      <c r="C54" s="98">
        <v>44</v>
      </c>
      <c r="D54" s="12">
        <f t="shared" si="72"/>
        <v>88</v>
      </c>
      <c r="E54" s="11">
        <f t="shared" si="73"/>
        <v>8</v>
      </c>
      <c r="F54" s="28"/>
      <c r="G54" s="16" t="str">
        <f t="shared" si="74"/>
        <v>..</v>
      </c>
    </row>
    <row r="55" spans="1:7" ht="17.100000000000001" customHeight="1" x14ac:dyDescent="0.25">
      <c r="A55" s="1">
        <v>46</v>
      </c>
      <c r="B55" s="39"/>
      <c r="C55" s="98">
        <v>45</v>
      </c>
      <c r="D55" s="12">
        <f t="shared" si="72"/>
        <v>90</v>
      </c>
      <c r="E55" s="11">
        <f t="shared" si="73"/>
        <v>8.3333333333333339</v>
      </c>
      <c r="F55" s="28"/>
      <c r="G55" s="16" t="str">
        <f t="shared" si="74"/>
        <v>..</v>
      </c>
    </row>
    <row r="56" spans="1:7" ht="17.100000000000001" customHeight="1" x14ac:dyDescent="0.25">
      <c r="A56" s="1">
        <v>47</v>
      </c>
      <c r="B56" s="39"/>
      <c r="C56" s="98">
        <v>46</v>
      </c>
      <c r="D56" s="12">
        <f t="shared" si="72"/>
        <v>92</v>
      </c>
      <c r="E56" s="11">
        <f t="shared" si="73"/>
        <v>8.6666666666666661</v>
      </c>
      <c r="F56" s="28"/>
      <c r="G56" s="16" t="str">
        <f t="shared" si="74"/>
        <v>..</v>
      </c>
    </row>
    <row r="57" spans="1:7" ht="17.100000000000001" customHeight="1" x14ac:dyDescent="0.25">
      <c r="A57" s="1">
        <v>48</v>
      </c>
      <c r="B57" s="39"/>
      <c r="C57" s="98">
        <v>47</v>
      </c>
      <c r="D57" s="12">
        <f t="shared" si="72"/>
        <v>94</v>
      </c>
      <c r="E57" s="11">
        <f t="shared" si="73"/>
        <v>9</v>
      </c>
      <c r="F57" s="28"/>
      <c r="G57" s="16" t="str">
        <f t="shared" si="74"/>
        <v>..</v>
      </c>
    </row>
    <row r="58" spans="1:7" ht="17.100000000000001" customHeight="1" x14ac:dyDescent="0.25">
      <c r="A58" s="1">
        <v>49</v>
      </c>
      <c r="B58" s="39"/>
      <c r="C58" s="98">
        <v>48</v>
      </c>
      <c r="D58" s="12">
        <f t="shared" si="72"/>
        <v>96</v>
      </c>
      <c r="E58" s="11">
        <f t="shared" si="73"/>
        <v>9.3333333333333339</v>
      </c>
      <c r="F58" s="28"/>
      <c r="G58" s="16" t="str">
        <f t="shared" si="74"/>
        <v>..</v>
      </c>
    </row>
    <row r="59" spans="1:7" ht="17.100000000000001" customHeight="1" x14ac:dyDescent="0.25">
      <c r="A59" s="1">
        <v>50</v>
      </c>
      <c r="B59" s="39"/>
      <c r="C59" s="98">
        <v>49</v>
      </c>
      <c r="D59" s="12">
        <f t="shared" si="72"/>
        <v>98</v>
      </c>
      <c r="E59" s="11">
        <f t="shared" si="73"/>
        <v>9.6666666666666661</v>
      </c>
      <c r="F59" s="28"/>
      <c r="G59" s="16" t="str">
        <f t="shared" si="74"/>
        <v>..</v>
      </c>
    </row>
    <row r="60" spans="1:7" ht="17.100000000000001" customHeight="1" x14ac:dyDescent="0.25">
      <c r="A60" s="1">
        <v>51</v>
      </c>
      <c r="B60" s="39"/>
      <c r="C60" s="98">
        <v>50</v>
      </c>
      <c r="D60" s="12">
        <f t="shared" ref="D60" si="75">IF(C60="","",C60/E$8*100)</f>
        <v>100</v>
      </c>
      <c r="E60" s="11">
        <f t="shared" ref="E60" si="76">IF(D60="","",IF(D60&gt;E$7,(E$6*(D60-E$7)+E$5*(100-D60))/(100-E$7),C60*E$5/(E$8*E$7*0.01)))</f>
        <v>10</v>
      </c>
      <c r="F60" s="28"/>
      <c r="G60" s="16" t="str">
        <f t="shared" ref="G60" si="77">LEFT(B60,8)&amp;".."</f>
        <v>..</v>
      </c>
    </row>
    <row r="61" spans="1:7" ht="17.100000000000001" customHeight="1" thickBot="1" x14ac:dyDescent="0.3">
      <c r="A61" s="2"/>
      <c r="B61" s="3" t="s">
        <v>6</v>
      </c>
      <c r="C61" s="31" t="e">
        <f>IF(countAverageJP(C10)=0,"",countAverageJP(C10))</f>
        <v>#N/A</v>
      </c>
      <c r="D61" s="33" t="e">
        <f>IF(countAverageJP(D10)=0,"",countAverageJP(D10))</f>
        <v>#N/A</v>
      </c>
      <c r="E61" s="32" t="e">
        <f>IF(countAverageJP(E10)=0,"",countAverageJP(E10))</f>
        <v>#N/A</v>
      </c>
      <c r="F61" s="28"/>
      <c r="G61" s="15"/>
    </row>
    <row r="62" spans="1:7" x14ac:dyDescent="0.25">
      <c r="A62" s="18"/>
      <c r="B62" s="19"/>
      <c r="C62" s="20"/>
      <c r="D62" s="20"/>
      <c r="E62" s="20"/>
      <c r="F62" s="15"/>
      <c r="G62" s="15"/>
    </row>
    <row r="63" spans="1:7" x14ac:dyDescent="0.25">
      <c r="A63" s="21" t="s">
        <v>13</v>
      </c>
      <c r="B63" s="15"/>
      <c r="C63" s="15"/>
      <c r="D63" s="15"/>
      <c r="E63" s="15"/>
      <c r="F63" s="15"/>
      <c r="G63" s="15"/>
    </row>
    <row r="64" spans="1:7" x14ac:dyDescent="0.25">
      <c r="A64" s="22" t="s">
        <v>37</v>
      </c>
      <c r="B64" s="15"/>
      <c r="C64" s="15"/>
      <c r="D64" s="15"/>
      <c r="E64" s="15"/>
      <c r="F64" s="15"/>
      <c r="G64" s="15"/>
    </row>
    <row r="65" spans="1:7" x14ac:dyDescent="0.25">
      <c r="A65" s="22" t="s">
        <v>38</v>
      </c>
      <c r="B65" s="15"/>
      <c r="C65" s="15"/>
      <c r="D65" s="15"/>
      <c r="E65" s="15"/>
      <c r="F65" s="15"/>
      <c r="G65" s="15"/>
    </row>
    <row r="66" spans="1:7" x14ac:dyDescent="0.25">
      <c r="A66" s="22" t="s">
        <v>39</v>
      </c>
      <c r="B66" s="15"/>
      <c r="C66" s="15"/>
      <c r="D66" s="15"/>
      <c r="E66" s="15"/>
      <c r="F66" s="15"/>
      <c r="G66" s="15"/>
    </row>
    <row r="67" spans="1:7" x14ac:dyDescent="0.25">
      <c r="A67" s="22" t="s">
        <v>11</v>
      </c>
      <c r="B67" s="15"/>
      <c r="C67" s="15"/>
      <c r="D67" s="15"/>
      <c r="E67" s="15"/>
      <c r="F67" s="15"/>
      <c r="G67" s="15"/>
    </row>
    <row r="68" spans="1:7" x14ac:dyDescent="0.25">
      <c r="A68" s="15"/>
      <c r="B68" s="15"/>
      <c r="C68" s="15"/>
      <c r="D68" s="15"/>
      <c r="E68" s="15"/>
      <c r="F68" s="15"/>
      <c r="G68" s="15"/>
    </row>
    <row r="69" spans="1:7" x14ac:dyDescent="0.25">
      <c r="A69" s="48"/>
    </row>
    <row r="71" spans="1:7" x14ac:dyDescent="0.25">
      <c r="B71" s="29"/>
    </row>
    <row r="72" spans="1:7" x14ac:dyDescent="0.25">
      <c r="B72" s="29"/>
    </row>
    <row r="73" spans="1:7" x14ac:dyDescent="0.25">
      <c r="B73" s="30"/>
    </row>
    <row r="74" spans="1:7" x14ac:dyDescent="0.25">
      <c r="B74" s="30"/>
    </row>
    <row r="75" spans="1:7" x14ac:dyDescent="0.25">
      <c r="B75" s="30"/>
    </row>
    <row r="76" spans="1:7" x14ac:dyDescent="0.25">
      <c r="B76" s="30"/>
    </row>
  </sheetData>
  <sheetProtection formatCells="0" formatColumns="0" formatRows="0" insertColumns="0" insertRows="0" deleteColumns="0" deleteRows="0" sort="0"/>
  <mergeCells count="6">
    <mergeCell ref="C7:D7"/>
    <mergeCell ref="C8:D8"/>
    <mergeCell ref="C6:D6"/>
    <mergeCell ref="C5:D5"/>
    <mergeCell ref="C1:D1"/>
    <mergeCell ref="C4:D4"/>
  </mergeCells>
  <conditionalFormatting sqref="E10:E40">
    <cfRule type="cellIs" dxfId="14" priority="142" stopIfTrue="1" operator="greaterThanOrEqual">
      <formula>$E$6-0.15*$E$6</formula>
    </cfRule>
    <cfRule type="cellIs" dxfId="13" priority="143" operator="lessThan">
      <formula>$E$5</formula>
    </cfRule>
  </conditionalFormatting>
  <conditionalFormatting sqref="E10:E40">
    <cfRule type="containsBlanks" priority="141" stopIfTrue="1">
      <formula>LEN(TRIM(E10))=0</formula>
    </cfRule>
  </conditionalFormatting>
  <conditionalFormatting sqref="F10:F40">
    <cfRule type="cellIs" dxfId="12" priority="140" operator="equal">
      <formula>0</formula>
    </cfRule>
  </conditionalFormatting>
  <conditionalFormatting sqref="E41:E60">
    <cfRule type="cellIs" dxfId="11" priority="3" stopIfTrue="1" operator="greaterThanOrEqual">
      <formula>$E$6-0.15*$E$6</formula>
    </cfRule>
    <cfRule type="cellIs" dxfId="10" priority="4" operator="lessThan">
      <formula>$E$5</formula>
    </cfRule>
  </conditionalFormatting>
  <conditionalFormatting sqref="E41:E60">
    <cfRule type="containsBlanks" priority="2" stopIfTrue="1">
      <formula>LEN(TRIM(E41))=0</formula>
    </cfRule>
  </conditionalFormatting>
  <conditionalFormatting sqref="F41:F60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5" r:id="rId4" name="Button 1">
              <controlPr defaultSize="0" print="0" autoFill="0" autoPict="0" macro="[0]!lisaa_uusi_rivi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1</xdr:col>
                    <xdr:colOff>628650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6" r:id="rId5" name="Button 2">
              <controlPr defaultSize="0" print="0" autoFill="0" autoPict="0" macro="[0]!poista_vika_rivi">
                <anchor moveWithCells="1">
                  <from>
                    <xdr:col>1</xdr:col>
                    <xdr:colOff>638175</xdr:colOff>
                    <xdr:row>0</xdr:row>
                    <xdr:rowOff>28575</xdr:rowOff>
                  </from>
                  <to>
                    <xdr:col>1</xdr:col>
                    <xdr:colOff>1647825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7" r:id="rId6" name="Button 3">
              <controlPr defaultSize="0" print="0" autoFill="0" autoPict="0" macro="[0]!delLastEmptyTest">
                <anchor moveWithCells="1">
                  <from>
                    <xdr:col>1</xdr:col>
                    <xdr:colOff>638175</xdr:colOff>
                    <xdr:row>1</xdr:row>
                    <xdr:rowOff>85725</xdr:rowOff>
                  </from>
                  <to>
                    <xdr:col>1</xdr:col>
                    <xdr:colOff>1647825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8" r:id="rId7" name="Button 4">
              <controlPr defaultSize="0" print="0" autoFill="0" autoPict="0" macro="[0]!addTest">
                <anchor moveWithCells="1">
                  <from>
                    <xdr:col>0</xdr:col>
                    <xdr:colOff>28575</xdr:colOff>
                    <xdr:row>1</xdr:row>
                    <xdr:rowOff>85725</xdr:rowOff>
                  </from>
                  <to>
                    <xdr:col>1</xdr:col>
                    <xdr:colOff>628650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9" r:id="rId8" name="Button 5">
              <controlPr defaultSize="0" print="0" autoFill="0" autoPict="0" macro="'Module3.hideTests(true)'">
                <anchor moveWithCells="1">
                  <from>
                    <xdr:col>0</xdr:col>
                    <xdr:colOff>28575</xdr:colOff>
                    <xdr:row>2</xdr:row>
                    <xdr:rowOff>142875</xdr:rowOff>
                  </from>
                  <to>
                    <xdr:col>1</xdr:col>
                    <xdr:colOff>628650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0" r:id="rId9" name="Button 6">
              <controlPr defaultSize="0" print="0" autoFill="0" autoPict="0" macro="'Module3.hideTests(false)'">
                <anchor moveWithCells="1">
                  <from>
                    <xdr:col>1</xdr:col>
                    <xdr:colOff>638175</xdr:colOff>
                    <xdr:row>2</xdr:row>
                    <xdr:rowOff>142875</xdr:rowOff>
                  </from>
                  <to>
                    <xdr:col>1</xdr:col>
                    <xdr:colOff>1647825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1" r:id="rId10" name="Button 7">
              <controlPr defaultSize="0" print="0" autoFill="0" autoPict="0" macro="'Module3.hideAverages(true)'">
                <anchor moveWithCells="1">
                  <from>
                    <xdr:col>0</xdr:col>
                    <xdr:colOff>28575</xdr:colOff>
                    <xdr:row>3</xdr:row>
                    <xdr:rowOff>200025</xdr:rowOff>
                  </from>
                  <to>
                    <xdr:col>1</xdr:col>
                    <xdr:colOff>628650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2" r:id="rId11" name="Button 8">
              <controlPr defaultSize="0" print="0" autoFill="0" autoPict="0" macro="'Module3.hideAverages(false)'">
                <anchor moveWithCells="1">
                  <from>
                    <xdr:col>1</xdr:col>
                    <xdr:colOff>638175</xdr:colOff>
                    <xdr:row>3</xdr:row>
                    <xdr:rowOff>200025</xdr:rowOff>
                  </from>
                  <to>
                    <xdr:col>1</xdr:col>
                    <xdr:colOff>1647825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40"/>
  <sheetViews>
    <sheetView workbookViewId="0">
      <selection activeCell="C25" sqref="C25"/>
    </sheetView>
  </sheetViews>
  <sheetFormatPr defaultColWidth="9.140625" defaultRowHeight="15" x14ac:dyDescent="0.25"/>
  <cols>
    <col min="1" max="1" width="5.42578125" style="84" customWidth="1"/>
    <col min="2" max="2" width="20.7109375" customWidth="1"/>
    <col min="3" max="3" width="29.140625" customWidth="1"/>
    <col min="4" max="4" width="2.85546875" style="91" customWidth="1"/>
    <col min="5" max="5" width="35.5703125" customWidth="1"/>
  </cols>
  <sheetData>
    <row r="1" spans="1:5" ht="15.75" customHeight="1" x14ac:dyDescent="0.25">
      <c r="B1" s="131" t="s">
        <v>44</v>
      </c>
      <c r="C1" s="131"/>
      <c r="D1" s="89"/>
      <c r="E1" s="85" t="s">
        <v>45</v>
      </c>
    </row>
    <row r="2" spans="1:5" ht="15.75" customHeight="1" x14ac:dyDescent="0.25">
      <c r="A2" s="84">
        <v>1</v>
      </c>
      <c r="B2" s="87" t="s">
        <v>104</v>
      </c>
      <c r="C2" s="87" t="s">
        <v>79</v>
      </c>
      <c r="D2" s="92" t="s">
        <v>77</v>
      </c>
      <c r="E2" s="86" t="str">
        <f>IF(AND(B2="", C2=""),"",CONCATENATE(CONCATENATE(UPPER(LEFT(B2,1)),LOWER(RIGHT(B2,LEN(B2)-1)))," ",C2))</f>
        <v>S Matteo</v>
      </c>
    </row>
    <row r="3" spans="1:5" ht="15.75" customHeight="1" x14ac:dyDescent="0.25">
      <c r="A3" s="84">
        <v>2</v>
      </c>
      <c r="B3" s="87" t="s">
        <v>80</v>
      </c>
      <c r="C3" s="87" t="s">
        <v>81</v>
      </c>
      <c r="D3" s="92" t="s">
        <v>77</v>
      </c>
      <c r="E3" s="86" t="str">
        <f t="shared" ref="E3:E18" si="0">IF(AND(B3="", C3=""),"",CONCATENATE(CONCATENATE(UPPER(LEFT(B3,1)),LOWER(RIGHT(B3,LEN(B3)-1)))," ",C3))</f>
        <v>Cataldi anttonen Massimo</v>
      </c>
    </row>
    <row r="4" spans="1:5" ht="15.75" customHeight="1" x14ac:dyDescent="0.25">
      <c r="A4" s="84">
        <v>3</v>
      </c>
      <c r="B4" s="87" t="s">
        <v>82</v>
      </c>
      <c r="C4" s="87" t="s">
        <v>83</v>
      </c>
      <c r="D4" s="92" t="s">
        <v>77</v>
      </c>
      <c r="E4" s="86" t="str">
        <f t="shared" si="0"/>
        <v>Da costa cabral Caterina</v>
      </c>
    </row>
    <row r="5" spans="1:5" ht="15.75" customHeight="1" x14ac:dyDescent="0.25">
      <c r="A5" s="84">
        <v>4</v>
      </c>
      <c r="B5" s="87" t="s">
        <v>84</v>
      </c>
      <c r="C5" s="87" t="s">
        <v>85</v>
      </c>
      <c r="D5" s="92" t="s">
        <v>77</v>
      </c>
      <c r="E5" s="86" t="str">
        <f t="shared" si="0"/>
        <v>Deslandes Paul</v>
      </c>
    </row>
    <row r="6" spans="1:5" ht="15.75" customHeight="1" x14ac:dyDescent="0.25">
      <c r="A6" s="84">
        <v>5</v>
      </c>
      <c r="B6" s="87" t="s">
        <v>86</v>
      </c>
      <c r="C6" s="87" t="s">
        <v>87</v>
      </c>
      <c r="D6" s="92" t="s">
        <v>77</v>
      </c>
      <c r="E6" s="86" t="str">
        <f t="shared" si="0"/>
        <v>Dissing Leon</v>
      </c>
    </row>
    <row r="7" spans="1:5" ht="15.75" customHeight="1" x14ac:dyDescent="0.25">
      <c r="A7" s="84">
        <v>6</v>
      </c>
      <c r="B7" s="87" t="s">
        <v>88</v>
      </c>
      <c r="C7" s="87" t="s">
        <v>89</v>
      </c>
      <c r="D7" s="92" t="s">
        <v>77</v>
      </c>
      <c r="E7" s="86" t="str">
        <f t="shared" si="0"/>
        <v>Esposito Alexandre</v>
      </c>
    </row>
    <row r="8" spans="1:5" ht="15.75" customHeight="1" x14ac:dyDescent="0.25">
      <c r="A8" s="84">
        <v>7</v>
      </c>
      <c r="B8" s="94" t="s">
        <v>90</v>
      </c>
      <c r="C8" s="94" t="s">
        <v>91</v>
      </c>
      <c r="D8" s="93" t="s">
        <v>77</v>
      </c>
      <c r="E8" s="86" t="str">
        <f>IF(AND(B8="", C8=""),"",CONCATENATE(CONCATENATE(UPPER(LEFT(B8,1)),LOWER(RIGHT(B8,LEN(B8)-1)))," ",C8))</f>
        <v>Guedes de campos Afonso</v>
      </c>
    </row>
    <row r="9" spans="1:5" ht="15.75" customHeight="1" x14ac:dyDescent="0.25">
      <c r="A9" s="84">
        <v>8</v>
      </c>
      <c r="B9" s="87" t="s">
        <v>78</v>
      </c>
      <c r="C9" s="87" t="s">
        <v>92</v>
      </c>
      <c r="D9" s="92" t="s">
        <v>77</v>
      </c>
      <c r="E9" s="86" t="str">
        <f t="shared" si="0"/>
        <v>Klaavu Oskar</v>
      </c>
    </row>
    <row r="10" spans="1:5" ht="15.75" customHeight="1" x14ac:dyDescent="0.25">
      <c r="A10" s="84">
        <v>9</v>
      </c>
      <c r="B10" s="87" t="s">
        <v>93</v>
      </c>
      <c r="C10" s="87" t="s">
        <v>94</v>
      </c>
      <c r="D10" s="92" t="s">
        <v>77</v>
      </c>
      <c r="E10" s="86" t="str">
        <f t="shared" si="0"/>
        <v>Liso Gianluca</v>
      </c>
    </row>
    <row r="11" spans="1:5" ht="15.75" customHeight="1" x14ac:dyDescent="0.25">
      <c r="A11" s="84">
        <v>10</v>
      </c>
      <c r="B11" s="87" t="s">
        <v>95</v>
      </c>
      <c r="C11" s="87" t="s">
        <v>96</v>
      </c>
      <c r="D11" s="92" t="s">
        <v>77</v>
      </c>
      <c r="E11" s="86" t="str">
        <f t="shared" si="0"/>
        <v>Pace Fabrizio</v>
      </c>
    </row>
    <row r="12" spans="1:5" ht="15.75" customHeight="1" x14ac:dyDescent="0.25">
      <c r="A12" s="84">
        <v>11</v>
      </c>
      <c r="B12" s="87" t="s">
        <v>97</v>
      </c>
      <c r="C12" s="87" t="s">
        <v>98</v>
      </c>
      <c r="D12" s="92" t="s">
        <v>77</v>
      </c>
      <c r="E12" s="86" t="str">
        <f t="shared" si="0"/>
        <v>Timmerman Lorenzo</v>
      </c>
    </row>
    <row r="13" spans="1:5" ht="15.75" customHeight="1" x14ac:dyDescent="0.25">
      <c r="A13" s="84">
        <v>12</v>
      </c>
      <c r="B13" s="87" t="s">
        <v>99</v>
      </c>
      <c r="C13" s="87" t="s">
        <v>100</v>
      </c>
      <c r="D13" s="92" t="s">
        <v>77</v>
      </c>
      <c r="E13" s="86" t="str">
        <f t="shared" si="0"/>
        <v>Tønnessen Tobias</v>
      </c>
    </row>
    <row r="14" spans="1:5" ht="15.75" customHeight="1" x14ac:dyDescent="0.25">
      <c r="A14" s="84">
        <v>13</v>
      </c>
      <c r="B14" s="87" t="s">
        <v>101</v>
      </c>
      <c r="C14" s="87" t="s">
        <v>102</v>
      </c>
      <c r="D14" s="92"/>
      <c r="E14" s="86" t="str">
        <f t="shared" si="0"/>
        <v>Verseckas Petras Stanley</v>
      </c>
    </row>
    <row r="15" spans="1:5" ht="15.75" customHeight="1" x14ac:dyDescent="0.25">
      <c r="A15" s="84">
        <v>14</v>
      </c>
      <c r="B15" s="87"/>
      <c r="C15" s="87"/>
      <c r="D15" s="90"/>
      <c r="E15" s="86" t="str">
        <f t="shared" si="0"/>
        <v/>
      </c>
    </row>
    <row r="16" spans="1:5" x14ac:dyDescent="0.25">
      <c r="A16" s="84">
        <v>15</v>
      </c>
      <c r="B16" s="87"/>
      <c r="C16" s="87"/>
      <c r="D16" s="90"/>
      <c r="E16" s="86" t="str">
        <f t="shared" si="0"/>
        <v/>
      </c>
    </row>
    <row r="17" spans="1:5" x14ac:dyDescent="0.25">
      <c r="A17" s="84">
        <v>16</v>
      </c>
      <c r="B17" s="87"/>
      <c r="C17" s="87"/>
      <c r="D17" s="90"/>
      <c r="E17" s="86" t="str">
        <f t="shared" si="0"/>
        <v/>
      </c>
    </row>
    <row r="18" spans="1:5" x14ac:dyDescent="0.25">
      <c r="A18" s="84">
        <v>17</v>
      </c>
      <c r="B18" s="87"/>
      <c r="C18" s="87"/>
      <c r="D18" s="90"/>
      <c r="E18" s="86" t="str">
        <f t="shared" si="0"/>
        <v/>
      </c>
    </row>
    <row r="19" spans="1:5" x14ac:dyDescent="0.25">
      <c r="A19" s="84">
        <v>18</v>
      </c>
      <c r="B19" s="87"/>
      <c r="C19" s="87"/>
      <c r="D19" s="90"/>
      <c r="E19" s="86" t="str">
        <f t="shared" ref="E19:E40" si="1">IF(AND(B19="", C19=""),"",CONCATENATE(CONCATENATE(UPPER(LEFT(B19,1)),LOWER(RIGHT(B19,LEN(B19)-1)))," ",C19))</f>
        <v/>
      </c>
    </row>
    <row r="20" spans="1:5" x14ac:dyDescent="0.25">
      <c r="A20" s="84">
        <v>19</v>
      </c>
      <c r="B20" s="88"/>
      <c r="C20" s="88"/>
      <c r="D20" s="90"/>
      <c r="E20" s="86" t="str">
        <f t="shared" si="1"/>
        <v/>
      </c>
    </row>
    <row r="21" spans="1:5" x14ac:dyDescent="0.25">
      <c r="A21" s="84">
        <v>20</v>
      </c>
      <c r="B21" s="87"/>
      <c r="C21" s="87"/>
      <c r="D21" s="90"/>
      <c r="E21" s="86" t="str">
        <f t="shared" si="1"/>
        <v/>
      </c>
    </row>
    <row r="22" spans="1:5" x14ac:dyDescent="0.25">
      <c r="A22" s="84">
        <v>21</v>
      </c>
      <c r="B22" s="87"/>
      <c r="C22" s="87"/>
      <c r="D22" s="90"/>
      <c r="E22" s="86" t="str">
        <f t="shared" si="1"/>
        <v/>
      </c>
    </row>
    <row r="23" spans="1:5" x14ac:dyDescent="0.25">
      <c r="A23" s="84">
        <v>22</v>
      </c>
      <c r="B23" s="87"/>
      <c r="C23" s="87"/>
      <c r="D23" s="90"/>
      <c r="E23" s="86" t="str">
        <f t="shared" si="1"/>
        <v/>
      </c>
    </row>
    <row r="24" spans="1:5" x14ac:dyDescent="0.25">
      <c r="A24" s="84">
        <v>23</v>
      </c>
      <c r="B24" s="87"/>
      <c r="C24" s="87"/>
      <c r="D24" s="90"/>
      <c r="E24" s="86" t="str">
        <f t="shared" si="1"/>
        <v/>
      </c>
    </row>
    <row r="25" spans="1:5" x14ac:dyDescent="0.25">
      <c r="A25" s="84">
        <v>24</v>
      </c>
      <c r="B25" s="87"/>
      <c r="C25" s="87"/>
      <c r="D25" s="90"/>
      <c r="E25" s="86" t="str">
        <f t="shared" si="1"/>
        <v/>
      </c>
    </row>
    <row r="26" spans="1:5" x14ac:dyDescent="0.25">
      <c r="A26" s="84">
        <v>25</v>
      </c>
      <c r="E26" s="86" t="str">
        <f t="shared" si="1"/>
        <v/>
      </c>
    </row>
    <row r="27" spans="1:5" x14ac:dyDescent="0.25">
      <c r="A27" s="84">
        <v>26</v>
      </c>
      <c r="E27" s="86" t="str">
        <f t="shared" si="1"/>
        <v/>
      </c>
    </row>
    <row r="28" spans="1:5" x14ac:dyDescent="0.25">
      <c r="A28" s="84">
        <v>27</v>
      </c>
      <c r="E28" s="86" t="str">
        <f t="shared" si="1"/>
        <v/>
      </c>
    </row>
    <row r="29" spans="1:5" x14ac:dyDescent="0.25">
      <c r="A29" s="84">
        <v>28</v>
      </c>
      <c r="E29" s="86" t="str">
        <f t="shared" si="1"/>
        <v/>
      </c>
    </row>
    <row r="30" spans="1:5" x14ac:dyDescent="0.25">
      <c r="A30" s="84">
        <v>29</v>
      </c>
      <c r="E30" s="86" t="str">
        <f t="shared" si="1"/>
        <v/>
      </c>
    </row>
    <row r="31" spans="1:5" x14ac:dyDescent="0.25">
      <c r="E31" s="86" t="str">
        <f t="shared" si="1"/>
        <v/>
      </c>
    </row>
    <row r="32" spans="1:5" x14ac:dyDescent="0.25">
      <c r="E32" s="86" t="str">
        <f t="shared" si="1"/>
        <v/>
      </c>
    </row>
    <row r="33" spans="5:5" x14ac:dyDescent="0.25">
      <c r="E33" s="86" t="str">
        <f t="shared" si="1"/>
        <v/>
      </c>
    </row>
    <row r="34" spans="5:5" x14ac:dyDescent="0.25">
      <c r="E34" s="86" t="str">
        <f t="shared" si="1"/>
        <v/>
      </c>
    </row>
    <row r="35" spans="5:5" x14ac:dyDescent="0.25">
      <c r="E35" s="86" t="str">
        <f t="shared" si="1"/>
        <v/>
      </c>
    </row>
    <row r="36" spans="5:5" x14ac:dyDescent="0.25">
      <c r="E36" s="86" t="str">
        <f t="shared" si="1"/>
        <v/>
      </c>
    </row>
    <row r="37" spans="5:5" x14ac:dyDescent="0.25">
      <c r="E37" s="86" t="str">
        <f t="shared" si="1"/>
        <v/>
      </c>
    </row>
    <row r="38" spans="5:5" x14ac:dyDescent="0.25">
      <c r="E38" s="86" t="str">
        <f t="shared" si="1"/>
        <v/>
      </c>
    </row>
    <row r="39" spans="5:5" x14ac:dyDescent="0.25">
      <c r="E39" s="86" t="str">
        <f t="shared" si="1"/>
        <v/>
      </c>
    </row>
    <row r="40" spans="5:5" x14ac:dyDescent="0.25">
      <c r="E40" s="86" t="str">
        <f t="shared" si="1"/>
        <v/>
      </c>
    </row>
  </sheetData>
  <sortState ref="E2:E18">
    <sortCondition ref="E2"/>
  </sortState>
  <dataConsolidate/>
  <mergeCells count="1">
    <mergeCell ref="B1:C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A36"/>
  <sheetViews>
    <sheetView workbookViewId="0">
      <selection activeCell="A29" sqref="A29"/>
    </sheetView>
  </sheetViews>
  <sheetFormatPr defaultColWidth="9.140625" defaultRowHeight="15" x14ac:dyDescent="0.25"/>
  <sheetData>
    <row r="2" spans="1:1" x14ac:dyDescent="0.25">
      <c r="A2" t="s">
        <v>46</v>
      </c>
    </row>
    <row r="3" spans="1:1" x14ac:dyDescent="0.25">
      <c r="A3" t="s">
        <v>47</v>
      </c>
    </row>
    <row r="4" spans="1:1" x14ac:dyDescent="0.25">
      <c r="A4" t="s">
        <v>48</v>
      </c>
    </row>
    <row r="5" spans="1:1" x14ac:dyDescent="0.25">
      <c r="A5" t="s">
        <v>49</v>
      </c>
    </row>
    <row r="6" spans="1:1" x14ac:dyDescent="0.25">
      <c r="A6" t="s">
        <v>50</v>
      </c>
    </row>
    <row r="7" spans="1:1" x14ac:dyDescent="0.25">
      <c r="A7" t="s">
        <v>51</v>
      </c>
    </row>
    <row r="8" spans="1:1" x14ac:dyDescent="0.25">
      <c r="A8" t="s">
        <v>52</v>
      </c>
    </row>
    <row r="9" spans="1:1" x14ac:dyDescent="0.25">
      <c r="A9" t="s">
        <v>53</v>
      </c>
    </row>
    <row r="10" spans="1:1" x14ac:dyDescent="0.25">
      <c r="A10" t="s">
        <v>54</v>
      </c>
    </row>
    <row r="11" spans="1:1" x14ac:dyDescent="0.25">
      <c r="A11" t="s">
        <v>55</v>
      </c>
    </row>
    <row r="12" spans="1:1" x14ac:dyDescent="0.25">
      <c r="A12" t="s">
        <v>56</v>
      </c>
    </row>
    <row r="13" spans="1:1" x14ac:dyDescent="0.25">
      <c r="A13" t="s">
        <v>57</v>
      </c>
    </row>
    <row r="14" spans="1:1" x14ac:dyDescent="0.25">
      <c r="A14" t="s">
        <v>58</v>
      </c>
    </row>
    <row r="15" spans="1:1" x14ac:dyDescent="0.25">
      <c r="A15" t="s">
        <v>59</v>
      </c>
    </row>
    <row r="16" spans="1:1" x14ac:dyDescent="0.25">
      <c r="A16" t="s">
        <v>60</v>
      </c>
    </row>
    <row r="17" spans="1:1" x14ac:dyDescent="0.25">
      <c r="A17" t="s">
        <v>61</v>
      </c>
    </row>
    <row r="18" spans="1:1" x14ac:dyDescent="0.25">
      <c r="A18" t="s">
        <v>62</v>
      </c>
    </row>
    <row r="19" spans="1:1" x14ac:dyDescent="0.25">
      <c r="A19" t="s">
        <v>63</v>
      </c>
    </row>
    <row r="20" spans="1:1" s="2" customFormat="1" x14ac:dyDescent="0.25"/>
    <row r="21" spans="1:1" x14ac:dyDescent="0.25">
      <c r="A21" t="s">
        <v>64</v>
      </c>
    </row>
    <row r="22" spans="1:1" x14ac:dyDescent="0.25">
      <c r="A22" t="s">
        <v>65</v>
      </c>
    </row>
    <row r="23" spans="1:1" x14ac:dyDescent="0.25">
      <c r="A23" t="s">
        <v>65</v>
      </c>
    </row>
    <row r="24" spans="1:1" x14ac:dyDescent="0.25">
      <c r="A24" t="s">
        <v>66</v>
      </c>
    </row>
    <row r="25" spans="1:1" x14ac:dyDescent="0.25">
      <c r="A25" t="s">
        <v>67</v>
      </c>
    </row>
    <row r="26" spans="1:1" x14ac:dyDescent="0.25">
      <c r="A26" t="s">
        <v>68</v>
      </c>
    </row>
    <row r="27" spans="1:1" x14ac:dyDescent="0.25">
      <c r="A27" t="s">
        <v>69</v>
      </c>
    </row>
    <row r="28" spans="1:1" x14ac:dyDescent="0.25">
      <c r="A28" t="s">
        <v>68</v>
      </c>
    </row>
    <row r="29" spans="1:1" x14ac:dyDescent="0.25">
      <c r="A29" t="s">
        <v>70</v>
      </c>
    </row>
    <row r="30" spans="1:1" x14ac:dyDescent="0.25">
      <c r="A30" t="s">
        <v>71</v>
      </c>
    </row>
    <row r="31" spans="1:1" x14ac:dyDescent="0.25">
      <c r="A31" t="s">
        <v>72</v>
      </c>
    </row>
    <row r="32" spans="1:1" x14ac:dyDescent="0.25">
      <c r="A32" t="s">
        <v>68</v>
      </c>
    </row>
    <row r="33" spans="1:1" x14ac:dyDescent="0.25">
      <c r="A33" t="s">
        <v>69</v>
      </c>
    </row>
    <row r="34" spans="1:1" x14ac:dyDescent="0.25">
      <c r="A34" t="s">
        <v>73</v>
      </c>
    </row>
    <row r="35" spans="1:1" x14ac:dyDescent="0.25">
      <c r="A35" t="s">
        <v>74</v>
      </c>
    </row>
    <row r="36" spans="1:1" x14ac:dyDescent="0.25">
      <c r="A36" t="s">
        <v>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Pohja</vt:lpstr>
      <vt:lpstr>Testing</vt:lpstr>
      <vt:lpstr>Nimien tuonti Extranetistä</vt:lpstr>
      <vt:lpstr>Comments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KERKKANEN Jukka - Pekka</cp:lastModifiedBy>
  <cp:lastPrinted>2016-11-12T21:19:57Z</cp:lastPrinted>
  <dcterms:created xsi:type="dcterms:W3CDTF">2016-10-07T10:23:36Z</dcterms:created>
  <dcterms:modified xsi:type="dcterms:W3CDTF">2018-06-18T12:09:57Z</dcterms:modified>
</cp:coreProperties>
</file>